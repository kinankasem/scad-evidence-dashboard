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Projects\SCAD 2\3- Evidence List\"/>
    </mc:Choice>
  </mc:AlternateContent>
  <xr:revisionPtr revIDLastSave="0" documentId="13_ncr:1_{E913F599-3048-41A4-9C44-0CFFD720ABD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equest Tracker" sheetId="1" r:id="rId1"/>
    <sheet name="Existing Evidence" sheetId="2" r:id="rId2"/>
    <sheet name="Domain Coverag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3" l="1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</calcChain>
</file>

<file path=xl/sharedStrings.xml><?xml version="1.0" encoding="utf-8"?>
<sst xmlns="http://schemas.openxmlformats.org/spreadsheetml/2006/main" count="569" uniqueCount="336">
  <si>
    <t>SCAD GIS – Evidence Request &amp; Tracking List</t>
  </si>
  <si>
    <t>Purpose: request, track and review evidence for the six GIS domains. Legacy ISO 19115/19157 documents are treated as supporting evidence only until current practice is validated.</t>
  </si>
  <si>
    <t>Total Requests</t>
  </si>
  <si>
    <t>Current / Known Evidence</t>
  </si>
  <si>
    <t>To Request</t>
  </si>
  <si>
    <t>Critical</t>
  </si>
  <si>
    <t>Request ID</t>
  </si>
  <si>
    <t>Domain</t>
  </si>
  <si>
    <t>Evidence Group</t>
  </si>
  <si>
    <t>Evidence / Information Requested</t>
  </si>
  <si>
    <t>Examples / Minimum Expected</t>
  </si>
  <si>
    <t>Assessment Purpose</t>
  </si>
  <si>
    <t>Priority</t>
  </si>
  <si>
    <t>Known Existing / Legacy Reference</t>
  </si>
  <si>
    <t>Tracking Status</t>
  </si>
  <si>
    <t>SCAD Owner</t>
  </si>
  <si>
    <t>Request Date</t>
  </si>
  <si>
    <t>Target Date</t>
  </si>
  <si>
    <t>Received Date</t>
  </si>
  <si>
    <t>Received File / Ref</t>
  </si>
  <si>
    <t>Review Result</t>
  </si>
  <si>
    <t>Review Notes / Gap Ref</t>
  </si>
  <si>
    <t>GOV-01</t>
  </si>
  <si>
    <t>All Domains / Cross-cutting</t>
  </si>
  <si>
    <t>Governance &amp; Roles</t>
  </si>
  <si>
    <t>Current GIS organization structure, role descriptions and responsibility assignments.</t>
  </si>
  <si>
    <t>Confirm process ownership, segregation of duties, approvers, reviewers and escalation roles.</t>
  </si>
  <si>
    <t>Not Reviewed</t>
  </si>
  <si>
    <t>GOV-02</t>
  </si>
  <si>
    <t>Controlled Documentation</t>
  </si>
  <si>
    <t>All GIS policies, SOPs, work instructions, flowcharts and informal operating guides currently used.</t>
  </si>
  <si>
    <t>Establish the real operating baseline and avoid recreating practices that already exist.</t>
  </si>
  <si>
    <t>GOV-03</t>
  </si>
  <si>
    <t>Document Control</t>
  </si>
  <si>
    <t>Evidence of document approval, version control, review cycle and change history for GIS documents.</t>
  </si>
  <si>
    <t>Approval pages, revision history, master document register, review records.</t>
  </si>
  <si>
    <t>Determine whether operating documents are controlled, current and auditable.</t>
  </si>
  <si>
    <t>High</t>
  </si>
  <si>
    <t>GOV-04</t>
  </si>
  <si>
    <t>Standards &amp; Data Governance</t>
  </si>
  <si>
    <t>Current GIS standards, data dictionary, terminology, naming/coding rules and metadata/data quality rules.</t>
  </si>
  <si>
    <t>Data dictionary; coding standards; naming conventions; data quality plan; metadata profile.</t>
  </si>
  <si>
    <t>Confirm common standards used across the six domains.</t>
  </si>
  <si>
    <t>GOV-05</t>
  </si>
  <si>
    <t>Systems &amp; Interfaces</t>
  </si>
  <si>
    <t>Current GIS systems, repositories, tools and key interfaces used by the six domains.</t>
  </si>
  <si>
    <t>System/application list and purpose; ArcGIS Enterprise, ESDM, FME/Informatica, AXON and other relevant tools/interfaces.</t>
  </si>
  <si>
    <t>Identify system handoffs, control points, repositories and dependencies.</t>
  </si>
  <si>
    <t>GOV-06</t>
  </si>
  <si>
    <t>Assurance &amp; Improvement</t>
  </si>
  <si>
    <t>GIS-related audit findings, nonconformities, corrective actions and improvement records.</t>
  </si>
  <si>
    <t>Audit plans/reports; NC/CAPA records; recurring issues and status.</t>
  </si>
  <si>
    <t>Assess whether weaknesses are identified, corrected and followed through.</t>
  </si>
  <si>
    <t>GOV-07</t>
  </si>
  <si>
    <t>Competency</t>
  </si>
  <si>
    <t>Training, competency and onboarding records for staff performing GIS operational activities.</t>
  </si>
  <si>
    <t>Training plan; attendance/training reports; competency matrix or role qualification evidence.</t>
  </si>
  <si>
    <t>Confirm that critical activities are assigned to competent personnel.</t>
  </si>
  <si>
    <t>Medium</t>
  </si>
  <si>
    <t>FDC-01</t>
  </si>
  <si>
    <t>GIS Field Enumeration &amp; Data Collection</t>
  </si>
  <si>
    <t>Current Workflow</t>
  </si>
  <si>
    <t>Current end-to-end field enumeration and spatial data collection workflow.</t>
  </si>
  <si>
    <t>Pre-field preparation → field assignment → capture → synchronization → post-field validation → handover.</t>
  </si>
  <si>
    <t>Validate the actual process, roles, handoffs and decision points.</t>
  </si>
  <si>
    <t>FDC-02</t>
  </si>
  <si>
    <t>Pre-field Preparation</t>
  </si>
  <si>
    <t>Evidence used to prepare sample locations, field maps, geographic references and assignments.</t>
  </si>
  <si>
    <t>Sample/location files; map packages; EA/sample references; assignment lists; pre-field checklists.</t>
  </si>
  <si>
    <t>Assess readiness, completeness and consistency before field deployment.</t>
  </si>
  <si>
    <t>FDC-03</t>
  </si>
  <si>
    <t>Capture Rules &amp; Configuration</t>
  </si>
  <si>
    <t>Field data model, mandatory attributes, coordinate capture rules and mobile/app/device configuration.</t>
  </si>
  <si>
    <t>Forms/schema; mandatory fields; CRS; precision; offline/sync settings; validation rules.</t>
  </si>
  <si>
    <t>Confirm that field capture is standardized and technically controlled.</t>
  </si>
  <si>
    <t>FDC-04</t>
  </si>
  <si>
    <t>Field QA/QC</t>
  </si>
  <si>
    <t>Pre-field and in-field quality checks and acceptance criteria.</t>
  </si>
  <si>
    <t>Checklists; duplicate/missing record checks; coordinate/location checks; supervisor review criteria.</t>
  </si>
  <si>
    <t>Determine whether quality is prevented/detected at source rather than only after collection.</t>
  </si>
  <si>
    <t>FDC-05</t>
  </si>
  <si>
    <t>Sample Execution Records</t>
  </si>
  <si>
    <t>One or more completed field data collection cases with traceability.</t>
  </si>
  <si>
    <t>Raw/collected record; timestamps; user/device ID; location; update history; supervisor acceptance.</t>
  </si>
  <si>
    <t>Verify that the documented/current practice is actually executed and traceable.</t>
  </si>
  <si>
    <t>FDC-06</t>
  </si>
  <si>
    <t>Exceptions &amp; Rework</t>
  </si>
  <si>
    <t>Field errors, rejected submissions, correction/rework and escalation records.</t>
  </si>
  <si>
    <t>Error lists; rejected records; issue logs; rework requests; escalation emails/tickets.</t>
  </si>
  <si>
    <t>Assess exception handling and evidence of resolution.</t>
  </si>
  <si>
    <t>FDC-07</t>
  </si>
  <si>
    <t>Post-field Validation &amp; Handover</t>
  </si>
  <si>
    <t>Post-field X/Y validation, spatial classification checks, acceptance and handover evidence.</t>
  </si>
  <si>
    <t>Coordinate validation; Region/District/Community checks; final QA report; handover/acceptance record.</t>
  </si>
  <si>
    <t>Confirm controlled transition from field output to trusted GIS/statistical data.</t>
  </si>
  <si>
    <t>SDS-01</t>
  </si>
  <si>
    <t>Spatial Data Schema Development &amp; Maintenance</t>
  </si>
  <si>
    <t>Schema Baseline</t>
  </si>
  <si>
    <t>Current geodatabase/data schema models for key spatial datasets.</t>
  </si>
  <si>
    <t>ERD/UML/geodatabase schema; feature classes/tables; relationships; current baseline/version.</t>
  </si>
  <si>
    <t>Establish the current technical schema baseline.</t>
  </si>
  <si>
    <t>SDS-02</t>
  </si>
  <si>
    <t>Feature &amp; Attribute Catalogue</t>
  </si>
  <si>
    <t>Feature catalogue/data dictionary with attributes, data types, domains, subtypes and code lists.</t>
  </si>
  <si>
    <t>Feature/attribute definitions; allowed values; keys; nullability; descriptions; business meaning.</t>
  </si>
  <si>
    <t>Assess whether schema definitions are standardized and understandable.</t>
  </si>
  <si>
    <t>SDS-03</t>
  </si>
  <si>
    <t>Schema Rules</t>
  </si>
  <si>
    <t>Naming conventions, field rules, identifiers, keys, default values and integrity constraints.</t>
  </si>
  <si>
    <t>Naming/coding standard; unique ID rules; domains/ranges; mandatory fields; reference tables.</t>
  </si>
  <si>
    <t>Confirm consistency and integrity across datasets.</t>
  </si>
  <si>
    <t>SDS-04</t>
  </si>
  <si>
    <t>Spatial Model Rules</t>
  </si>
  <si>
    <t>Geometry, CRS/spatial reference, precision/resolution and topology/relationship rules.</t>
  </si>
  <si>
    <t>Geometry types; WGS 1984 or other approved CRS; coordinate precision; topology and relationship rules.</t>
  </si>
  <si>
    <t>Confirm that the spatial model has explicit, testable rules.</t>
  </si>
  <si>
    <t>SDS-05</t>
  </si>
  <si>
    <t>Ownership &amp; Approval</t>
  </si>
  <si>
    <t>Schema ownership, custodianship, review and approval responsibilities.</t>
  </si>
  <si>
    <t>Schema/data owner list; custodian; technical reviewer; approver; RACI.</t>
  </si>
  <si>
    <t>Establish accountability for design and maintenance decisions.</t>
  </si>
  <si>
    <t>SDS-06</t>
  </si>
  <si>
    <t>Lifecycle &amp; Versioning</t>
  </si>
  <si>
    <t>Schema baseline, version history, release notes and periodic maintenance/review evidence.</t>
  </si>
  <si>
    <t>Version register; release notes; review schedule; deprecated elements; maintenance history.</t>
  </si>
  <si>
    <t>Assess whether schema evolution is controlled and traceable.</t>
  </si>
  <si>
    <t>SDS-07</t>
  </si>
  <si>
    <t>Validation &amp; Metadata</t>
  </si>
  <si>
    <t>Schema validation/test evidence and link to metadata/lineage.</t>
  </si>
  <si>
    <t>Schema validation results; test data; metadata records; lineage; product specification if available.</t>
  </si>
  <si>
    <t>Confirm that schemas are verified and datasets remain discoverable/traceable.</t>
  </si>
  <si>
    <t>SCM-01</t>
  </si>
  <si>
    <t>GIS Schema Change Management</t>
  </si>
  <si>
    <t>Change Request &amp; Register</t>
  </si>
  <si>
    <t>Current schema change request mechanism and change register.</t>
  </si>
  <si>
    <t>Request form; change ID; requester; reason; affected schema/version; status; approvals.</t>
  </si>
  <si>
    <t>Confirm formal initiation and traceability of changes.</t>
  </si>
  <si>
    <t>SCM-02</t>
  </si>
  <si>
    <t>Impact Assessment</t>
  </si>
  <si>
    <t>Impact assessment criteria and completed examples for schema changes.</t>
  </si>
  <si>
    <t>Impact on datasets, ETL/pipelines, services, apps, metadata, statistics, interfaces and users.</t>
  </si>
  <si>
    <t>Verify that downstream impacts are assessed before approval.</t>
  </si>
  <si>
    <t>SCM-03</t>
  </si>
  <si>
    <t>Review &amp; Approval</t>
  </si>
  <si>
    <t>Governance for reviewing, approving, rejecting and prioritizing schema changes.</t>
  </si>
  <si>
    <t>Approval matrix; CAB or equivalent; decision record; emergency/standard change route if used.</t>
  </si>
  <si>
    <t>Confirm decision authority and objective approval criteria.</t>
  </si>
  <si>
    <t>SCM-04</t>
  </si>
  <si>
    <t>Testing &amp; Acceptance</t>
  </si>
  <si>
    <t>Testing/UAT/validation records and acceptance criteria before deployment.</t>
  </si>
  <si>
    <t>Test plan/results; regression/compatibility checks; data validation; user acceptance where relevant.</t>
  </si>
  <si>
    <t>Reduce risk of breaking dependent data, services or statistical outputs.</t>
  </si>
  <si>
    <t>SCM-05</t>
  </si>
  <si>
    <t>Implementation &amp; Communication</t>
  </si>
  <si>
    <t>Implementation plan, versioning/release notes and stakeholder communication.</t>
  </si>
  <si>
    <t>Implementation tasks/date/owner; release notes; updated documentation; communication evidence.</t>
  </si>
  <si>
    <t>Confirm controlled implementation and awareness of affected stakeholders.</t>
  </si>
  <si>
    <t>SCM-06</t>
  </si>
  <si>
    <t>Rollback / Backout</t>
  </si>
  <si>
    <t>Rollback, backup or backout arrangements for unsuccessful schema changes.</t>
  </si>
  <si>
    <t>Rollback steps; backup/snapshot; restore criteria; decision authority; example if available.</t>
  </si>
  <si>
    <t>Confirm reversibility of high-impact changes.</t>
  </si>
  <si>
    <t>SCM-07</t>
  </si>
  <si>
    <t>Post-change &amp; Periodic Review</t>
  </si>
  <si>
    <t>Post-implementation review and periodic schema review evidence.</t>
  </si>
  <si>
    <t>PIR record; outcome; unresolved issues; next review date; periodic schema health/relevance review.</t>
  </si>
  <si>
    <t>Verify closure, learning and ongoing suitability of the schema.</t>
  </si>
  <si>
    <t>GEO-01</t>
  </si>
  <si>
    <t>Geo-Pipeline Operations</t>
  </si>
  <si>
    <t>Current end-to-end geo-pipeline workflow and operational ownership.</t>
  </si>
  <si>
    <t>Receive → integrity check → spatial/non-spatial → geo-enable → standardize → quality → metadata → ingest → validate → publish → monitor.</t>
  </si>
  <si>
    <t>Validate the pipeline that will become the operational SOP.</t>
  </si>
  <si>
    <t>GEO-02</t>
  </si>
  <si>
    <t>Inputs &amp; Source Controls</t>
  </si>
  <si>
    <t>Data source/provider inventory and input/interface specifications.</t>
  </si>
  <si>
    <t>Provider/source; format; frequency; delivery channel; required fields; ownership; expected completeness/quality.</t>
  </si>
  <si>
    <t>Confirm controlled and repeatable ingestion inputs.</t>
  </si>
  <si>
    <t>GEO-03</t>
  </si>
  <si>
    <t>ETL / Job Configuration</t>
  </si>
  <si>
    <t>ETL scripts/workflows, schedules, transformation mappings and job configuration.</t>
  </si>
  <si>
    <t>FME/Informatica/scripts/jobs; schedules; mapping specs; parameter files; job ownership.</t>
  </si>
  <si>
    <t>Understand automated/manual transformation logic and operational dependencies.</t>
  </si>
  <si>
    <t>GEO-04</t>
  </si>
  <si>
    <t>Geo-enable &amp; Standardization</t>
  </si>
  <si>
    <t>Geocoding, coordinate assignment, classification, CRS and standardization rules.</t>
  </si>
  <si>
    <t>Geocoding method; Region/District/Community classification; WGS 1984; coordinate precision; transformation rules.</t>
  </si>
  <si>
    <t>Confirm consistent location enablement and spatial standardization.</t>
  </si>
  <si>
    <t>GEO-05</t>
  </si>
  <si>
    <t>Quality &amp; Metadata Gates</t>
  </si>
  <si>
    <t>Operational quality gates, thresholds, data quality reports and metadata/lineage records.</t>
  </si>
  <si>
    <t>Topology/completeness/temporal/attribute checks; pass/fail thresholds; DQ report; metadata record; lineage.</t>
  </si>
  <si>
    <t>Determine whether quality and metadata are embedded as pipeline checkpoints.</t>
  </si>
  <si>
    <t>GEO-06</t>
  </si>
  <si>
    <t>Database &amp; Publishing Controls</t>
  </si>
  <si>
    <t>Database ingestion, post-ingestion validation, publishing approval and service configuration.</t>
  </si>
  <si>
    <t>Load logs; target DB/ESDM mapping; reconciliation; ArcGIS service publishing; approval; access settings.</t>
  </si>
  <si>
    <t>Confirm controlled release of trusted spatial data/services.</t>
  </si>
  <si>
    <t>GEO-07</t>
  </si>
  <si>
    <t>Monitoring, Exceptions &amp; Run Evidence</t>
  </si>
  <si>
    <t>Pipeline monitoring, job/error logs, alerts, exception/reprocessing records and one completed end-to-end run.</t>
  </si>
  <si>
    <t>Monitoring dashboard/logs; failed jobs; error reasons; re-run/reprocess evidence; timestamps; final published output.</t>
  </si>
  <si>
    <t>Verify operational continuity, traceability and evidence of exception handling.</t>
  </si>
  <si>
    <t>EA-01</t>
  </si>
  <si>
    <t>Enumeration Area (EA) Management</t>
  </si>
  <si>
    <t>EA Model &amp; Methodology</t>
  </si>
  <si>
    <t>Current EA data model, hierarchy, coding and delineation methodology.</t>
  </si>
  <si>
    <t>EA schema; unique IDs/codes; hierarchy; delineation rules; workload/population/geographic criteria used by SCAD.</t>
  </si>
  <si>
    <t>Establish the authoritative EA management basis.</t>
  </si>
  <si>
    <t>EA-02</t>
  </si>
  <si>
    <t>Authoritative Inputs</t>
  </si>
  <si>
    <t>Reference layers and source data used to create/update EAs.</t>
  </si>
  <si>
    <t>Administrative boundaries; buildings/addresses; roads; population/register/survey data; source owner/date.</t>
  </si>
  <si>
    <t>Assess source authority, currency and dependency management.</t>
  </si>
  <si>
    <t>EA-03</t>
  </si>
  <si>
    <t>Versioning &amp; History</t>
  </si>
  <si>
    <t>EA versioning, identifiers, effective dates and historical/change records.</t>
  </si>
  <si>
    <t>Version register; old/new EA correspondence; effective dates; archived boundaries; change log.</t>
  </si>
  <si>
    <t>Preserve comparability and traceability across surveys/census cycles.</t>
  </si>
  <si>
    <t>EA-04</t>
  </si>
  <si>
    <t>Spatial QA</t>
  </si>
  <si>
    <t>EA topology, coverage, adjacency and geographic consistency rules/results.</t>
  </si>
  <si>
    <t>No gaps/overlaps; boundary alignment; coverage checks; geometry validity; QA report.</t>
  </si>
  <si>
    <t>Confirm that EA geography is complete, non-overlapping and fit for enumeration/statistical use.</t>
  </si>
  <si>
    <t>EA-05</t>
  </si>
  <si>
    <t>Statistical Linkage</t>
  </si>
  <si>
    <t>Linkage of EAs to surveys, census, sampling frames and administrative/statistical registers.</t>
  </si>
  <si>
    <t>Keys/crosswalks; survey/census references; frame linkage; geographic classifications.</t>
  </si>
  <si>
    <t>Validate integration of EA geography with statistical production.</t>
  </si>
  <si>
    <t>EA-06</t>
  </si>
  <si>
    <t>Update &amp; Approval Workflow</t>
  </si>
  <si>
    <t>EA update/change workflow, review/approval and stakeholder notification.</t>
  </si>
  <si>
    <t>Change trigger; request; analysis; approval; update; validation; release; notification.</t>
  </si>
  <si>
    <t>Confirm controlled changes to a critical statistical geography.</t>
  </si>
  <si>
    <t>EA-07</t>
  </si>
  <si>
    <t>Field Validation &amp; Publication</t>
  </si>
  <si>
    <t>Field validation/feedback, final acceptance, publication/distribution and sample update case.</t>
  </si>
  <si>
    <t>Field feedback; correction record; approval; map/service output; metadata; before/after case.</t>
  </si>
  <si>
    <t>Verify operational validation and controlled release of EA products.</t>
  </si>
  <si>
    <t>INC-01</t>
  </si>
  <si>
    <t>GIS Incident Management</t>
  </si>
  <si>
    <t>Incident Definition &amp; Log</t>
  </si>
  <si>
    <t>Current definition/categories of GIS incidents and the system/register used to log them.</t>
  </si>
  <si>
    <t>Ticketing tool/register; incident ID; date; affected system/service/data; description; owner; status.</t>
  </si>
  <si>
    <t>Establish a single, traceable incident record.</t>
  </si>
  <si>
    <t>INC-02</t>
  </si>
  <si>
    <t>Severity &amp; Priority</t>
  </si>
  <si>
    <t>Severity/priority classification criteria and examples.</t>
  </si>
  <si>
    <t>Severity matrix based on service/data impact, users, duration, criticality and workaround availability.</t>
  </si>
  <si>
    <t>Enable consistent prioritization and escalation.</t>
  </si>
  <si>
    <t>INC-03</t>
  </si>
  <si>
    <t>Roles &amp; Escalation</t>
  </si>
  <si>
    <t>Incident ownership, support roles, escalation paths and contact points.</t>
  </si>
  <si>
    <t>L1/L2/L3 or equivalent; GIS/IT/data owner roles; functional/management escalation; contact list.</t>
  </si>
  <si>
    <t>Clarify accountability and escalation during disruptions.</t>
  </si>
  <si>
    <t>INC-04</t>
  </si>
  <si>
    <t>Response &amp; Resolution Workflow</t>
  </si>
  <si>
    <t>Current triage, diagnosis, containment, recovery and resolution workflow.</t>
  </si>
  <si>
    <t>Process flow; diagnostic steps; workaround; restore service/data; validation before closure.</t>
  </si>
  <si>
    <t>Assess whether incidents are handled consistently and safely.</t>
  </si>
  <si>
    <t>INC-05</t>
  </si>
  <si>
    <t>Communication &amp; Targets</t>
  </si>
  <si>
    <t>Response/resolution targets and stakeholder communication/notification evidence.</t>
  </si>
  <si>
    <t>SLA/target times; escalation thresholds; outage/data issue notifications; breach records.</t>
  </si>
  <si>
    <t>Confirm timely response and transparent communication.</t>
  </si>
  <si>
    <t>INC-06</t>
  </si>
  <si>
    <t>RCA &amp; Corrective Action</t>
  </si>
  <si>
    <t>Root cause analysis and corrective/preventive action evidence for major or recurring GIS incidents.</t>
  </si>
  <si>
    <t>RCA; root cause; corrective action; owner; due date; verification of effectiveness.</t>
  </si>
  <si>
    <t>Prevent recurrence and link incident management to continual improvement.</t>
  </si>
  <si>
    <t>INC-07</t>
  </si>
  <si>
    <t>Closure &amp; Performance</t>
  </si>
  <si>
    <t>Incident closure criteria, lessons learned and KPI/trend reports.</t>
  </si>
  <si>
    <t>Closure confirmation; user/business validation; lessons learned; incident count/MTTR/repeat incidents/trends.</t>
  </si>
  <si>
    <t>Confirm complete closure and evidence-based improvement.</t>
  </si>
  <si>
    <t>Existing Evidence Inventory – Current + Legacy Files</t>
  </si>
  <si>
    <t>Evidence ID</t>
  </si>
  <si>
    <t>Source</t>
  </si>
  <si>
    <t>Level / Folder</t>
  </si>
  <si>
    <t>Document Code</t>
  </si>
  <si>
    <t>Document / File Name</t>
  </si>
  <si>
    <t>File Type</t>
  </si>
  <si>
    <t>Master List Description</t>
  </si>
  <si>
    <t>Master List Status</t>
  </si>
  <si>
    <t>Working Status</t>
  </si>
  <si>
    <t>Mapped Domain(s)</t>
  </si>
  <si>
    <t>CE-001</t>
  </si>
  <si>
    <t>Current evidence received</t>
  </si>
  <si>
    <t>Current project evidence</t>
  </si>
  <si>
    <t>GIS Benchmark - GeoPipeline.pptx</t>
  </si>
  <si>
    <t>PPTX</t>
  </si>
  <si>
    <t>SCAD spatial data journey, quality/metadata concepts, ESDM and ArcGIS Enterprise context.</t>
  </si>
  <si>
    <t>Current Evidence – Received</t>
  </si>
  <si>
    <t>Geo-Pipeline Operations; Spatial Data Schema; Field Enumeration &amp; Data Collection</t>
  </si>
  <si>
    <t>LE-001</t>
  </si>
  <si>
    <t>Legacy / Unapproved – In Practice (validate)</t>
  </si>
  <si>
    <t>Domain Coverage &amp; Initial Assessment Plan</t>
  </si>
  <si>
    <t>Use this sheet to see where evidence already exists and where SCAD needs to provide direct operational evidence.</t>
  </si>
  <si>
    <t>Known / Current</t>
  </si>
  <si>
    <t>Core Requirement Areas</t>
  </si>
  <si>
    <t>Request Count</t>
  </si>
  <si>
    <t>Known / Current Evidence</t>
  </si>
  <si>
    <t>Recommended First Validation</t>
  </si>
  <si>
    <t>Governance, roles, controlled documents, systems, assurance, competency</t>
  </si>
  <si>
    <t>Confirm GIS organization, document set, systems and owners before domain workshops.</t>
  </si>
  <si>
    <t>Legacy Files Inventoried</t>
  </si>
  <si>
    <t>Field preparation, capture controls, QA/QC, execution records, exceptions, handover</t>
  </si>
  <si>
    <t>Walk through one real field collection case from sample/location preparation to accepted output.</t>
  </si>
  <si>
    <t>Schema baseline, feature/attribute catalogue, spatial rules, ownership, lifecycle, validation</t>
  </si>
  <si>
    <t>Review one active geodatabase/schema and its dictionary/ownership/version history.</t>
  </si>
  <si>
    <t>Request, impact, approval, testing, implementation, rollback, post-review</t>
  </si>
  <si>
    <t>Walk through one real schema change from request to deployment and review.</t>
  </si>
  <si>
    <t>Inputs, ETL, geo-enable, standards, quality/metadata, ingestion/publishing, monitoring</t>
  </si>
  <si>
    <t>Demonstrate one recent dataset through the full geo-pipeline end-to-end.</t>
  </si>
  <si>
    <t>EA model/delineation, sources, versioning, QA, statistical linkage, updates, publication</t>
  </si>
  <si>
    <t>Review one EA creation/update case with QA and survey/register linkage.</t>
  </si>
  <si>
    <t>Logging, severity, ownership, response, communication, RCA/CAPA, closure/KPIs</t>
  </si>
  <si>
    <t>Review one recent GIS/data/service incident or equivalent issue from detection to closure.</t>
  </si>
  <si>
    <t>Needs Clarification</t>
  </si>
  <si>
    <t>Legacy ISO 19115/19157 Old package</t>
  </si>
  <si>
    <t>GIS Benchmark - GeoPipeline.pptx -  AXON / GIS tools</t>
  </si>
  <si>
    <t>Many</t>
  </si>
  <si>
    <t>ISO 19115 ISO 19157</t>
  </si>
  <si>
    <t>Old</t>
  </si>
  <si>
    <t>GIS team structure; RACI or responsibility matrix</t>
  </si>
  <si>
    <t>Partially Received</t>
  </si>
  <si>
    <t>Received</t>
  </si>
  <si>
    <t>Requested</t>
  </si>
  <si>
    <t>to be in the GuideLine</t>
  </si>
  <si>
    <t>Geo-Pipline Tracking Sheet.xlsx</t>
  </si>
  <si>
    <t>Geo-Pipline Tracking Sheet</t>
  </si>
  <si>
    <t>file</t>
  </si>
  <si>
    <t>XLSX</t>
  </si>
  <si>
    <t>Current</t>
  </si>
  <si>
    <t>GIS Benchmark - GeoPipeline.pptx
Geo-Pipline Tracking Sheet.xlsx</t>
  </si>
  <si>
    <t>Legacy ISO 19115/19157 Old package
Geo-Pipline Tracking Sheet.xlsx</t>
  </si>
  <si>
    <t>E-003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</si>
</sst>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name val="Carlito"/>
    </font>
    <font>
      <b/>
      <sz val="16"/>
      <color rgb="FFFFFFFF"/>
      <name val="Carlito"/>
    </font>
    <font>
      <i/>
      <sz val="10"/>
      <color rgb="FF595959"/>
      <name val="Carlito"/>
    </font>
    <font>
      <b/>
      <sz val="11"/>
      <color rgb="FF17365D"/>
      <name val="Carlito"/>
    </font>
    <font>
      <b/>
      <sz val="9"/>
      <color rgb="FFFFFFFF"/>
      <name val="Carlito"/>
    </font>
    <font>
      <sz val="9"/>
      <name val="Carlito"/>
    </font>
    <font>
      <u/>
      <sz val="11"/>
      <color theme="10"/>
      <name val="Carlito"/>
    </font>
    <font>
      <sz val="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F2F2F2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6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8"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600"/>
              <a:t>Evidence Requests by Domain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Core Requirement Areas</c:v>
          </c:tx>
          <c:invertIfNegative val="1"/>
          <c:cat>
            <c:strRef>
              <c:f>'Domain Coverage'!$A$5:$A$11</c:f>
              <c:strCache>
                <c:ptCount val="7"/>
                <c:pt idx="0">
                  <c:v>All Domains / Cross-cutting</c:v>
                </c:pt>
                <c:pt idx="1">
                  <c:v>GIS Field Enumeration &amp; Data Collection</c:v>
                </c:pt>
                <c:pt idx="2">
                  <c:v>Spatial Data Schema Development &amp; Maintenance</c:v>
                </c:pt>
                <c:pt idx="3">
                  <c:v>GIS Schema Change Management</c:v>
                </c:pt>
                <c:pt idx="4">
                  <c:v>Geo-Pipeline Operations</c:v>
                </c:pt>
                <c:pt idx="5">
                  <c:v>Enumeration Area (EA) Management</c:v>
                </c:pt>
                <c:pt idx="6">
                  <c:v>GIS Incident Management</c:v>
                </c:pt>
              </c:strCache>
            </c:strRef>
          </c:cat>
          <c:val>
            <c:numRef>
              <c:f>'Domain Coverage'!$B$5:$B$11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0-4FA7-8593-AB1CBE4B2998}"/>
            </c:ext>
          </c:extLst>
        </c:ser>
        <c:ser>
          <c:idx val="1"/>
          <c:order val="1"/>
          <c:tx>
            <c:v>Request Count</c:v>
          </c:tx>
          <c:invertIfNegative val="1"/>
          <c:cat>
            <c:strRef>
              <c:f>'Domain Coverage'!$A$5:$A$11</c:f>
              <c:strCache>
                <c:ptCount val="7"/>
                <c:pt idx="0">
                  <c:v>All Domains / Cross-cutting</c:v>
                </c:pt>
                <c:pt idx="1">
                  <c:v>GIS Field Enumeration &amp; Data Collection</c:v>
                </c:pt>
                <c:pt idx="2">
                  <c:v>Spatial Data Schema Development &amp; Maintenance</c:v>
                </c:pt>
                <c:pt idx="3">
                  <c:v>GIS Schema Change Management</c:v>
                </c:pt>
                <c:pt idx="4">
                  <c:v>Geo-Pipeline Operations</c:v>
                </c:pt>
                <c:pt idx="5">
                  <c:v>Enumeration Area (EA) Management</c:v>
                </c:pt>
                <c:pt idx="6">
                  <c:v>GIS Incident Management</c:v>
                </c:pt>
              </c:strCache>
            </c:strRef>
          </c:cat>
          <c:val>
            <c:numRef>
              <c:f>'Domain Coverage'!$C$5:$C$11</c:f>
              <c:numCache>
                <c:formatCode>General</c:formatCode>
                <c:ptCount val="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20-4FA7-8593-AB1CBE4B2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121920</xdr:colOff>
      <xdr:row>11</xdr:row>
      <xdr:rowOff>106680</xdr:rowOff>
    </xdr:from>
    <xdr:to>
      <xdr:col>5</xdr:col>
      <xdr:colOff>1463040</xdr:colOff>
      <xdr:row>27</xdr:row>
      <xdr:rowOff>45720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idenceRequestTable" displayName="EvidenceRequestTable" ref="A5:P54" totalsRowShown="0">
  <tableColumns count="16">
    <tableColumn id="1" xr3:uid="{00000000-0010-0000-0000-000001000000}" name="Request ID"/>
    <tableColumn id="2" xr3:uid="{00000000-0010-0000-0000-000002000000}" name="Domain"/>
    <tableColumn id="3" xr3:uid="{00000000-0010-0000-0000-000003000000}" name="Evidence Group"/>
    <tableColumn id="4" xr3:uid="{00000000-0010-0000-0000-000004000000}" name="Evidence / Information Requested"/>
    <tableColumn id="5" xr3:uid="{00000000-0010-0000-0000-000005000000}" name="Examples / Minimum Expected"/>
    <tableColumn id="6" xr3:uid="{00000000-0010-0000-0000-000006000000}" name="Assessment Purpose"/>
    <tableColumn id="7" xr3:uid="{00000000-0010-0000-0000-000007000000}" name="Priority"/>
    <tableColumn id="8" xr3:uid="{00000000-0010-0000-0000-000008000000}" name="Known Existing / Legacy Reference"/>
    <tableColumn id="9" xr3:uid="{00000000-0010-0000-0000-000009000000}" name="Tracking Status"/>
    <tableColumn id="10" xr3:uid="{00000000-0010-0000-0000-00000A000000}" name="SCAD Owner"/>
    <tableColumn id="11" xr3:uid="{00000000-0010-0000-0000-00000B000000}" name="Request Date"/>
    <tableColumn id="12" xr3:uid="{00000000-0010-0000-0000-00000C000000}" name="Target Date"/>
    <tableColumn id="13" xr3:uid="{00000000-0010-0000-0000-00000D000000}" name="Received Date"/>
    <tableColumn id="14" xr3:uid="{00000000-0010-0000-0000-00000E000000}" name="Received File / Ref"/>
    <tableColumn id="15" xr3:uid="{00000000-0010-0000-0000-00000F000000}" name="Review Result"/>
    <tableColumn id="16" xr3:uid="{00000000-0010-0000-0000-000010000000}" name="Review Notes / Gap Re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istingEvidenceTable" displayName="ExistingEvidenceTable" ref="A5:J50" totalsRowShown="0">
  <tableColumns count="10">
    <tableColumn id="1" xr3:uid="{00000000-0010-0000-0100-000001000000}" name="Evidence ID"/>
    <tableColumn id="2" xr3:uid="{00000000-0010-0000-0100-000002000000}" name="Source"/>
    <tableColumn id="3" xr3:uid="{00000000-0010-0000-0100-000003000000}" name="Level / Folder"/>
    <tableColumn id="4" xr3:uid="{00000000-0010-0000-0100-000004000000}" name="Document Code"/>
    <tableColumn id="5" xr3:uid="{00000000-0010-0000-0100-000005000000}" name="Document / File Name"/>
    <tableColumn id="6" xr3:uid="{00000000-0010-0000-0100-000006000000}" name="File Type"/>
    <tableColumn id="7" xr3:uid="{00000000-0010-0000-0100-000007000000}" name="Master List Description"/>
    <tableColumn id="8" xr3:uid="{00000000-0010-0000-0100-000008000000}" name="Master List Status"/>
    <tableColumn id="9" xr3:uid="{00000000-0010-0000-0100-000009000000}" name="Working Status"/>
    <tableColumn id="10" xr3:uid="{00000000-0010-0000-0100-00000A000000}" name="Mapped Domain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Geo-Pipline%20Tracking%20Sheet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opLeftCell="E31" workbookViewId="0">
      <selection activeCell="H42" sqref="H42"/>
    </sheetView>
  </sheetViews>
  <sheetFormatPr defaultRowHeight="14.4" x14ac:dyDescent="0.3"/>
  <cols>
    <col min="1" max="1" width="12" customWidth="1"/>
    <col min="2" max="2" width="34" customWidth="1"/>
    <col min="3" max="3" width="23" customWidth="1"/>
    <col min="4" max="4" width="39" customWidth="1"/>
    <col min="5" max="5" width="44" customWidth="1"/>
    <col min="6" max="6" width="41" customWidth="1"/>
    <col min="7" max="7" width="12" customWidth="1"/>
    <col min="8" max="8" width="46" customWidth="1"/>
    <col min="9" max="9" width="24" customWidth="1"/>
    <col min="10" max="10" width="18" customWidth="1"/>
    <col min="11" max="13" width="13" customWidth="1"/>
    <col min="14" max="14" width="30" customWidth="1"/>
    <col min="15" max="15" width="20" customWidth="1"/>
    <col min="16" max="16" width="40" customWidth="1"/>
  </cols>
  <sheetData>
    <row r="1" spans="1:16" ht="22.3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25.6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3">
      <c r="A3" s="2" t="s">
        <v>2</v>
      </c>
      <c r="B3" s="2">
        <v>49</v>
      </c>
      <c r="C3" s="2" t="s">
        <v>3</v>
      </c>
      <c r="D3" s="2">
        <v>40</v>
      </c>
      <c r="E3" s="2" t="s">
        <v>4</v>
      </c>
      <c r="F3" s="2">
        <v>9</v>
      </c>
      <c r="G3" s="2" t="s">
        <v>5</v>
      </c>
      <c r="H3" s="2">
        <v>31</v>
      </c>
    </row>
    <row r="5" spans="1:16" ht="30.45" customHeight="1" x14ac:dyDescent="0.3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</row>
    <row r="6" spans="1:16" ht="24" x14ac:dyDescent="0.3">
      <c r="A6" s="4" t="s">
        <v>22</v>
      </c>
      <c r="B6" s="4" t="s">
        <v>23</v>
      </c>
      <c r="C6" s="4" t="s">
        <v>24</v>
      </c>
      <c r="D6" s="4" t="s">
        <v>25</v>
      </c>
      <c r="E6" s="4" t="s">
        <v>323</v>
      </c>
      <c r="F6" s="4" t="s">
        <v>26</v>
      </c>
      <c r="G6" s="4" t="s">
        <v>5</v>
      </c>
      <c r="H6" s="4"/>
      <c r="I6" s="4" t="s">
        <v>324</v>
      </c>
      <c r="J6" s="4"/>
      <c r="K6" s="5">
        <v>46253</v>
      </c>
      <c r="L6" s="5">
        <v>46258</v>
      </c>
      <c r="M6" s="5"/>
      <c r="N6" s="4"/>
      <c r="O6" s="4" t="s">
        <v>317</v>
      </c>
      <c r="P6" s="4"/>
    </row>
    <row r="7" spans="1:16" ht="24" x14ac:dyDescent="0.3">
      <c r="A7" s="4" t="s">
        <v>28</v>
      </c>
      <c r="B7" s="4" t="s">
        <v>23</v>
      </c>
      <c r="C7" s="4" t="s">
        <v>29</v>
      </c>
      <c r="D7" s="4" t="s">
        <v>30</v>
      </c>
      <c r="E7" s="4"/>
      <c r="F7" s="4" t="s">
        <v>31</v>
      </c>
      <c r="G7" s="4" t="s">
        <v>5</v>
      </c>
      <c r="H7" s="4" t="s">
        <v>318</v>
      </c>
      <c r="I7" s="4" t="s">
        <v>4</v>
      </c>
      <c r="J7" s="4"/>
      <c r="K7" s="5">
        <v>46253</v>
      </c>
      <c r="L7" s="5">
        <v>46258</v>
      </c>
      <c r="M7" s="5"/>
      <c r="N7" s="4"/>
      <c r="O7" s="4" t="s">
        <v>27</v>
      </c>
      <c r="P7" s="4"/>
    </row>
    <row r="8" spans="1:16" ht="24" x14ac:dyDescent="0.3">
      <c r="A8" s="4" t="s">
        <v>32</v>
      </c>
      <c r="B8" s="4" t="s">
        <v>23</v>
      </c>
      <c r="C8" s="4" t="s">
        <v>33</v>
      </c>
      <c r="D8" s="4" t="s">
        <v>34</v>
      </c>
      <c r="E8" s="4" t="s">
        <v>35</v>
      </c>
      <c r="F8" s="4" t="s">
        <v>36</v>
      </c>
      <c r="G8" s="4" t="s">
        <v>37</v>
      </c>
      <c r="H8" s="4" t="s">
        <v>318</v>
      </c>
      <c r="I8" s="4" t="s">
        <v>4</v>
      </c>
      <c r="J8" s="4"/>
      <c r="K8" s="5">
        <v>46253</v>
      </c>
      <c r="L8" s="5">
        <v>46258</v>
      </c>
      <c r="M8" s="5"/>
      <c r="N8" s="4"/>
      <c r="O8" s="4" t="s">
        <v>27</v>
      </c>
      <c r="P8" s="4"/>
    </row>
    <row r="9" spans="1:16" ht="24" x14ac:dyDescent="0.3">
      <c r="A9" s="4" t="s">
        <v>38</v>
      </c>
      <c r="B9" s="4" t="s">
        <v>23</v>
      </c>
      <c r="C9" s="4" t="s">
        <v>39</v>
      </c>
      <c r="D9" s="4" t="s">
        <v>40</v>
      </c>
      <c r="E9" s="4" t="s">
        <v>41</v>
      </c>
      <c r="F9" s="4" t="s">
        <v>42</v>
      </c>
      <c r="G9" s="4" t="s">
        <v>5</v>
      </c>
      <c r="H9" s="4" t="s">
        <v>318</v>
      </c>
      <c r="I9" s="4" t="s">
        <v>4</v>
      </c>
      <c r="J9" s="4"/>
      <c r="K9" s="5">
        <v>46253</v>
      </c>
      <c r="L9" s="5">
        <v>46258</v>
      </c>
      <c r="M9" s="5"/>
      <c r="N9" s="4"/>
      <c r="O9" s="4" t="s">
        <v>27</v>
      </c>
      <c r="P9" s="4"/>
    </row>
    <row r="10" spans="1:16" ht="24" x14ac:dyDescent="0.3">
      <c r="A10" s="4" t="s">
        <v>43</v>
      </c>
      <c r="B10" s="4" t="s">
        <v>23</v>
      </c>
      <c r="C10" s="4" t="s">
        <v>44</v>
      </c>
      <c r="D10" s="4" t="s">
        <v>45</v>
      </c>
      <c r="E10" s="4" t="s">
        <v>46</v>
      </c>
      <c r="F10" s="4" t="s">
        <v>47</v>
      </c>
      <c r="G10" s="4" t="s">
        <v>5</v>
      </c>
      <c r="H10" s="4" t="s">
        <v>319</v>
      </c>
      <c r="I10" s="4" t="s">
        <v>4</v>
      </c>
      <c r="J10" s="4"/>
      <c r="K10" s="5">
        <v>46253</v>
      </c>
      <c r="L10" s="5">
        <v>46258</v>
      </c>
      <c r="M10" s="5"/>
      <c r="N10" s="4"/>
      <c r="O10" s="4" t="s">
        <v>27</v>
      </c>
      <c r="P10" s="4"/>
    </row>
    <row r="11" spans="1:16" ht="24" x14ac:dyDescent="0.3">
      <c r="A11" s="4" t="s">
        <v>48</v>
      </c>
      <c r="B11" s="4" t="s">
        <v>23</v>
      </c>
      <c r="C11" s="4" t="s">
        <v>49</v>
      </c>
      <c r="D11" s="4" t="s">
        <v>50</v>
      </c>
      <c r="E11" s="4" t="s">
        <v>51</v>
      </c>
      <c r="F11" s="4" t="s">
        <v>52</v>
      </c>
      <c r="G11" s="4" t="s">
        <v>37</v>
      </c>
      <c r="H11" s="4" t="s">
        <v>318</v>
      </c>
      <c r="I11" s="4" t="s">
        <v>4</v>
      </c>
      <c r="J11" s="4"/>
      <c r="K11" s="5">
        <v>46253</v>
      </c>
      <c r="L11" s="5">
        <v>46258</v>
      </c>
      <c r="M11" s="5"/>
      <c r="N11" s="4"/>
      <c r="O11" s="4" t="s">
        <v>27</v>
      </c>
      <c r="P11" s="4"/>
    </row>
    <row r="12" spans="1:16" ht="24" x14ac:dyDescent="0.3">
      <c r="A12" s="4" t="s">
        <v>53</v>
      </c>
      <c r="B12" s="4" t="s">
        <v>23</v>
      </c>
      <c r="C12" s="4" t="s">
        <v>54</v>
      </c>
      <c r="D12" s="4" t="s">
        <v>55</v>
      </c>
      <c r="E12" s="4" t="s">
        <v>56</v>
      </c>
      <c r="F12" s="4" t="s">
        <v>57</v>
      </c>
      <c r="G12" s="4" t="s">
        <v>58</v>
      </c>
      <c r="H12" s="4" t="s">
        <v>318</v>
      </c>
      <c r="I12" s="4" t="s">
        <v>4</v>
      </c>
      <c r="J12" s="4"/>
      <c r="K12" s="5">
        <v>46253</v>
      </c>
      <c r="L12" s="5">
        <v>46258</v>
      </c>
      <c r="M12" s="5"/>
      <c r="N12" s="4"/>
      <c r="O12" s="4" t="s">
        <v>27</v>
      </c>
      <c r="P12" s="4"/>
    </row>
    <row r="13" spans="1:16" ht="24" x14ac:dyDescent="0.3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63</v>
      </c>
      <c r="F13" s="4" t="s">
        <v>64</v>
      </c>
      <c r="G13" s="4" t="s">
        <v>5</v>
      </c>
      <c r="H13" s="4"/>
      <c r="I13" s="4" t="s">
        <v>324</v>
      </c>
      <c r="J13" s="4"/>
      <c r="K13" s="5">
        <v>46253</v>
      </c>
      <c r="L13" s="5">
        <v>46258</v>
      </c>
      <c r="M13" s="5"/>
      <c r="N13" s="4"/>
      <c r="O13" s="4" t="s">
        <v>27</v>
      </c>
      <c r="P13" s="4"/>
    </row>
    <row r="14" spans="1:16" ht="24" x14ac:dyDescent="0.3">
      <c r="A14" s="4" t="s">
        <v>65</v>
      </c>
      <c r="B14" s="4" t="s">
        <v>60</v>
      </c>
      <c r="C14" s="4" t="s">
        <v>66</v>
      </c>
      <c r="D14" s="4" t="s">
        <v>67</v>
      </c>
      <c r="E14" s="4" t="s">
        <v>68</v>
      </c>
      <c r="F14" s="4" t="s">
        <v>69</v>
      </c>
      <c r="G14" s="4" t="s">
        <v>5</v>
      </c>
      <c r="H14" s="4" t="s">
        <v>318</v>
      </c>
      <c r="I14" s="4" t="s">
        <v>324</v>
      </c>
      <c r="J14" s="4"/>
      <c r="K14" s="5">
        <v>46253</v>
      </c>
      <c r="L14" s="5">
        <v>46258</v>
      </c>
      <c r="M14" s="5"/>
      <c r="N14" s="4"/>
      <c r="O14" s="4" t="s">
        <v>27</v>
      </c>
      <c r="P14" s="4"/>
    </row>
    <row r="15" spans="1:16" ht="24" x14ac:dyDescent="0.3">
      <c r="A15" s="4" t="s">
        <v>70</v>
      </c>
      <c r="B15" s="4" t="s">
        <v>60</v>
      </c>
      <c r="C15" s="4" t="s">
        <v>71</v>
      </c>
      <c r="D15" s="4" t="s">
        <v>72</v>
      </c>
      <c r="E15" s="4" t="s">
        <v>73</v>
      </c>
      <c r="F15" s="4" t="s">
        <v>74</v>
      </c>
      <c r="G15" s="4" t="s">
        <v>5</v>
      </c>
      <c r="H15" s="4" t="s">
        <v>318</v>
      </c>
      <c r="I15" s="4" t="s">
        <v>4</v>
      </c>
      <c r="J15" s="4"/>
      <c r="K15" s="5">
        <v>46253</v>
      </c>
      <c r="L15" s="5">
        <v>46258</v>
      </c>
      <c r="M15" s="5"/>
      <c r="N15" s="4"/>
      <c r="O15" s="4" t="s">
        <v>27</v>
      </c>
      <c r="P15" s="4"/>
    </row>
    <row r="16" spans="1:16" ht="24" x14ac:dyDescent="0.3">
      <c r="A16" s="4" t="s">
        <v>75</v>
      </c>
      <c r="B16" s="4" t="s">
        <v>60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37</v>
      </c>
      <c r="H16" s="4" t="s">
        <v>318</v>
      </c>
      <c r="I16" s="4" t="s">
        <v>4</v>
      </c>
      <c r="J16" s="4"/>
      <c r="K16" s="5">
        <v>46253</v>
      </c>
      <c r="L16" s="5">
        <v>46258</v>
      </c>
      <c r="M16" s="5"/>
      <c r="N16" s="4"/>
      <c r="O16" s="4" t="s">
        <v>27</v>
      </c>
      <c r="P16" s="4"/>
    </row>
    <row r="17" spans="1:16" ht="24" x14ac:dyDescent="0.3">
      <c r="A17" s="4" t="s">
        <v>80</v>
      </c>
      <c r="B17" s="4" t="s">
        <v>60</v>
      </c>
      <c r="C17" s="4" t="s">
        <v>81</v>
      </c>
      <c r="D17" s="4" t="s">
        <v>82</v>
      </c>
      <c r="E17" s="4" t="s">
        <v>83</v>
      </c>
      <c r="F17" s="4" t="s">
        <v>84</v>
      </c>
      <c r="G17" s="4" t="s">
        <v>5</v>
      </c>
      <c r="H17" s="4"/>
      <c r="I17" s="4" t="s">
        <v>324</v>
      </c>
      <c r="J17" s="4"/>
      <c r="K17" s="5">
        <v>46253</v>
      </c>
      <c r="L17" s="5">
        <v>46258</v>
      </c>
      <c r="M17" s="5"/>
      <c r="N17" s="4"/>
      <c r="O17" s="4" t="s">
        <v>27</v>
      </c>
      <c r="P17" s="4"/>
    </row>
    <row r="18" spans="1:16" ht="24" x14ac:dyDescent="0.3">
      <c r="A18" s="4" t="s">
        <v>85</v>
      </c>
      <c r="B18" s="4" t="s">
        <v>60</v>
      </c>
      <c r="C18" s="4" t="s">
        <v>86</v>
      </c>
      <c r="D18" s="4" t="s">
        <v>87</v>
      </c>
      <c r="E18" s="4" t="s">
        <v>88</v>
      </c>
      <c r="F18" s="4" t="s">
        <v>89</v>
      </c>
      <c r="G18" s="4" t="s">
        <v>37</v>
      </c>
      <c r="H18" s="4" t="s">
        <v>318</v>
      </c>
      <c r="I18" s="4" t="s">
        <v>4</v>
      </c>
      <c r="J18" s="4"/>
      <c r="K18" s="5">
        <v>46253</v>
      </c>
      <c r="L18" s="5">
        <v>46258</v>
      </c>
      <c r="M18" s="5"/>
      <c r="N18" s="4"/>
      <c r="O18" s="4" t="s">
        <v>27</v>
      </c>
      <c r="P18" s="4"/>
    </row>
    <row r="19" spans="1:16" ht="24" x14ac:dyDescent="0.3">
      <c r="A19" s="4" t="s">
        <v>90</v>
      </c>
      <c r="B19" s="4" t="s">
        <v>60</v>
      </c>
      <c r="C19" s="4" t="s">
        <v>91</v>
      </c>
      <c r="D19" s="4" t="s">
        <v>92</v>
      </c>
      <c r="E19" s="4" t="s">
        <v>93</v>
      </c>
      <c r="F19" s="4" t="s">
        <v>94</v>
      </c>
      <c r="G19" s="4" t="s">
        <v>5</v>
      </c>
      <c r="H19" s="4" t="s">
        <v>318</v>
      </c>
      <c r="I19" s="4" t="s">
        <v>4</v>
      </c>
      <c r="J19" s="4"/>
      <c r="K19" s="5">
        <v>46253</v>
      </c>
      <c r="L19" s="5">
        <v>46258</v>
      </c>
      <c r="M19" s="5"/>
      <c r="N19" s="4"/>
      <c r="O19" s="4" t="s">
        <v>27</v>
      </c>
      <c r="P19" s="4"/>
    </row>
    <row r="20" spans="1:16" ht="24" x14ac:dyDescent="0.3">
      <c r="A20" s="4" t="s">
        <v>95</v>
      </c>
      <c r="B20" s="4" t="s">
        <v>96</v>
      </c>
      <c r="C20" s="4" t="s">
        <v>97</v>
      </c>
      <c r="D20" s="4" t="s">
        <v>98</v>
      </c>
      <c r="E20" s="4" t="s">
        <v>99</v>
      </c>
      <c r="F20" s="4" t="s">
        <v>100</v>
      </c>
      <c r="G20" s="4" t="s">
        <v>5</v>
      </c>
      <c r="H20" s="4"/>
      <c r="I20" s="4" t="s">
        <v>4</v>
      </c>
      <c r="J20" s="4"/>
      <c r="K20" s="5">
        <v>46253</v>
      </c>
      <c r="L20" s="5">
        <v>46258</v>
      </c>
      <c r="M20" s="5"/>
      <c r="N20" s="4"/>
      <c r="O20" s="4" t="s">
        <v>27</v>
      </c>
      <c r="P20" s="4"/>
    </row>
    <row r="21" spans="1:16" ht="24" x14ac:dyDescent="0.3">
      <c r="A21" s="4" t="s">
        <v>101</v>
      </c>
      <c r="B21" s="4" t="s">
        <v>96</v>
      </c>
      <c r="C21" s="4" t="s">
        <v>102</v>
      </c>
      <c r="D21" s="4" t="s">
        <v>103</v>
      </c>
      <c r="E21" s="4" t="s">
        <v>104</v>
      </c>
      <c r="F21" s="4" t="s">
        <v>105</v>
      </c>
      <c r="G21" s="4" t="s">
        <v>5</v>
      </c>
      <c r="H21" s="4" t="s">
        <v>318</v>
      </c>
      <c r="I21" s="4" t="s">
        <v>4</v>
      </c>
      <c r="J21" s="4"/>
      <c r="K21" s="5">
        <v>46253</v>
      </c>
      <c r="L21" s="5">
        <v>46258</v>
      </c>
      <c r="M21" s="5"/>
      <c r="N21" s="4"/>
      <c r="O21" s="4" t="s">
        <v>27</v>
      </c>
      <c r="P21" s="4"/>
    </row>
    <row r="22" spans="1:16" ht="24" x14ac:dyDescent="0.3">
      <c r="A22" s="4" t="s">
        <v>106</v>
      </c>
      <c r="B22" s="4" t="s">
        <v>96</v>
      </c>
      <c r="C22" s="4" t="s">
        <v>107</v>
      </c>
      <c r="D22" s="4" t="s">
        <v>108</v>
      </c>
      <c r="E22" s="4" t="s">
        <v>109</v>
      </c>
      <c r="F22" s="4" t="s">
        <v>110</v>
      </c>
      <c r="G22" s="4" t="s">
        <v>37</v>
      </c>
      <c r="H22" s="4" t="s">
        <v>318</v>
      </c>
      <c r="I22" s="4" t="s">
        <v>4</v>
      </c>
      <c r="J22" s="4"/>
      <c r="K22" s="5">
        <v>46253</v>
      </c>
      <c r="L22" s="5">
        <v>46258</v>
      </c>
      <c r="M22" s="5"/>
      <c r="N22" s="4"/>
      <c r="O22" s="4" t="s">
        <v>27</v>
      </c>
      <c r="P22" s="4"/>
    </row>
    <row r="23" spans="1:16" ht="24" x14ac:dyDescent="0.3">
      <c r="A23" s="4" t="s">
        <v>111</v>
      </c>
      <c r="B23" s="4" t="s">
        <v>96</v>
      </c>
      <c r="C23" s="4" t="s">
        <v>112</v>
      </c>
      <c r="D23" s="4" t="s">
        <v>113</v>
      </c>
      <c r="E23" s="4" t="s">
        <v>114</v>
      </c>
      <c r="F23" s="4" t="s">
        <v>115</v>
      </c>
      <c r="G23" s="4" t="s">
        <v>5</v>
      </c>
      <c r="H23" s="4" t="s">
        <v>288</v>
      </c>
      <c r="I23" s="4" t="s">
        <v>4</v>
      </c>
      <c r="J23" s="4"/>
      <c r="K23" s="5">
        <v>46253</v>
      </c>
      <c r="L23" s="5">
        <v>46258</v>
      </c>
      <c r="M23" s="5"/>
      <c r="N23" s="4"/>
      <c r="O23" s="4" t="s">
        <v>27</v>
      </c>
      <c r="P23" s="4"/>
    </row>
    <row r="24" spans="1:16" ht="24" x14ac:dyDescent="0.3">
      <c r="A24" s="4" t="s">
        <v>116</v>
      </c>
      <c r="B24" s="4" t="s">
        <v>96</v>
      </c>
      <c r="C24" s="4" t="s">
        <v>117</v>
      </c>
      <c r="D24" s="4" t="s">
        <v>118</v>
      </c>
      <c r="E24" s="4" t="s">
        <v>119</v>
      </c>
      <c r="F24" s="4" t="s">
        <v>120</v>
      </c>
      <c r="G24" s="4" t="s">
        <v>5</v>
      </c>
      <c r="H24" s="4" t="s">
        <v>318</v>
      </c>
      <c r="I24" s="4" t="s">
        <v>4</v>
      </c>
      <c r="J24" s="4"/>
      <c r="K24" s="5">
        <v>46253</v>
      </c>
      <c r="L24" s="5">
        <v>46258</v>
      </c>
      <c r="M24" s="5"/>
      <c r="N24" s="4"/>
      <c r="O24" s="4" t="s">
        <v>27</v>
      </c>
      <c r="P24" s="4"/>
    </row>
    <row r="25" spans="1:16" ht="24" x14ac:dyDescent="0.3">
      <c r="A25" s="4" t="s">
        <v>121</v>
      </c>
      <c r="B25" s="4" t="s">
        <v>96</v>
      </c>
      <c r="C25" s="4" t="s">
        <v>122</v>
      </c>
      <c r="D25" s="4" t="s">
        <v>123</v>
      </c>
      <c r="E25" s="4" t="s">
        <v>124</v>
      </c>
      <c r="F25" s="4" t="s">
        <v>125</v>
      </c>
      <c r="G25" s="4" t="s">
        <v>37</v>
      </c>
      <c r="H25" s="4" t="s">
        <v>318</v>
      </c>
      <c r="I25" s="4" t="s">
        <v>4</v>
      </c>
      <c r="J25" s="4"/>
      <c r="K25" s="5">
        <v>46253</v>
      </c>
      <c r="L25" s="5">
        <v>46258</v>
      </c>
      <c r="M25" s="5"/>
      <c r="N25" s="4"/>
      <c r="O25" s="4" t="s">
        <v>27</v>
      </c>
      <c r="P25" s="4"/>
    </row>
    <row r="26" spans="1:16" ht="24" x14ac:dyDescent="0.3">
      <c r="A26" s="4" t="s">
        <v>126</v>
      </c>
      <c r="B26" s="4" t="s">
        <v>96</v>
      </c>
      <c r="C26" s="4" t="s">
        <v>127</v>
      </c>
      <c r="D26" s="4" t="s">
        <v>128</v>
      </c>
      <c r="E26" s="4" t="s">
        <v>129</v>
      </c>
      <c r="F26" s="4" t="s">
        <v>130</v>
      </c>
      <c r="G26" s="4" t="s">
        <v>37</v>
      </c>
      <c r="H26" s="4" t="s">
        <v>318</v>
      </c>
      <c r="I26" s="4" t="s">
        <v>4</v>
      </c>
      <c r="J26" s="4"/>
      <c r="K26" s="5">
        <v>46253</v>
      </c>
      <c r="L26" s="5">
        <v>46258</v>
      </c>
      <c r="M26" s="5"/>
      <c r="N26" s="4"/>
      <c r="O26" s="4" t="s">
        <v>27</v>
      </c>
      <c r="P26" s="4"/>
    </row>
    <row r="27" spans="1:16" ht="24" x14ac:dyDescent="0.3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135</v>
      </c>
      <c r="F27" s="4" t="s">
        <v>136</v>
      </c>
      <c r="G27" s="4" t="s">
        <v>5</v>
      </c>
      <c r="H27" s="4" t="s">
        <v>318</v>
      </c>
      <c r="I27" s="4" t="s">
        <v>4</v>
      </c>
      <c r="J27" s="4"/>
      <c r="K27" s="5">
        <v>46253</v>
      </c>
      <c r="L27" s="5">
        <v>46258</v>
      </c>
      <c r="M27" s="5"/>
      <c r="N27" s="4"/>
      <c r="O27" s="4" t="s">
        <v>27</v>
      </c>
      <c r="P27" s="4"/>
    </row>
    <row r="28" spans="1:16" ht="24" x14ac:dyDescent="0.3">
      <c r="A28" s="4" t="s">
        <v>137</v>
      </c>
      <c r="B28" s="4" t="s">
        <v>132</v>
      </c>
      <c r="C28" s="4" t="s">
        <v>138</v>
      </c>
      <c r="D28" s="4" t="s">
        <v>139</v>
      </c>
      <c r="E28" s="4" t="s">
        <v>140</v>
      </c>
      <c r="F28" s="4" t="s">
        <v>141</v>
      </c>
      <c r="G28" s="4" t="s">
        <v>5</v>
      </c>
      <c r="H28" s="4" t="s">
        <v>318</v>
      </c>
      <c r="I28" s="4" t="s">
        <v>4</v>
      </c>
      <c r="J28" s="4"/>
      <c r="K28" s="5">
        <v>46253</v>
      </c>
      <c r="L28" s="5">
        <v>46258</v>
      </c>
      <c r="M28" s="5"/>
      <c r="N28" s="4"/>
      <c r="O28" s="4" t="s">
        <v>27</v>
      </c>
      <c r="P28" s="4"/>
    </row>
    <row r="29" spans="1:16" ht="24" x14ac:dyDescent="0.3">
      <c r="A29" s="4" t="s">
        <v>142</v>
      </c>
      <c r="B29" s="4" t="s">
        <v>132</v>
      </c>
      <c r="C29" s="4" t="s">
        <v>143</v>
      </c>
      <c r="D29" s="4" t="s">
        <v>144</v>
      </c>
      <c r="E29" s="4" t="s">
        <v>145</v>
      </c>
      <c r="F29" s="4" t="s">
        <v>146</v>
      </c>
      <c r="G29" s="4" t="s">
        <v>5</v>
      </c>
      <c r="H29" s="4" t="s">
        <v>318</v>
      </c>
      <c r="I29" s="4" t="s">
        <v>4</v>
      </c>
      <c r="J29" s="4"/>
      <c r="K29" s="5">
        <v>46253</v>
      </c>
      <c r="L29" s="5">
        <v>46258</v>
      </c>
      <c r="M29" s="5"/>
      <c r="N29" s="4"/>
      <c r="O29" s="4" t="s">
        <v>27</v>
      </c>
      <c r="P29" s="4"/>
    </row>
    <row r="30" spans="1:16" ht="24" x14ac:dyDescent="0.3">
      <c r="A30" s="4" t="s">
        <v>147</v>
      </c>
      <c r="B30" s="4" t="s">
        <v>132</v>
      </c>
      <c r="C30" s="4" t="s">
        <v>148</v>
      </c>
      <c r="D30" s="4" t="s">
        <v>149</v>
      </c>
      <c r="E30" s="4" t="s">
        <v>150</v>
      </c>
      <c r="F30" s="4" t="s">
        <v>151</v>
      </c>
      <c r="G30" s="4" t="s">
        <v>37</v>
      </c>
      <c r="H30" s="4" t="s">
        <v>318</v>
      </c>
      <c r="I30" s="4" t="s">
        <v>4</v>
      </c>
      <c r="J30" s="4"/>
      <c r="K30" s="5">
        <v>46253</v>
      </c>
      <c r="L30" s="5">
        <v>46258</v>
      </c>
      <c r="M30" s="5"/>
      <c r="N30" s="4"/>
      <c r="O30" s="4" t="s">
        <v>27</v>
      </c>
      <c r="P30" s="4"/>
    </row>
    <row r="31" spans="1:16" ht="24" x14ac:dyDescent="0.3">
      <c r="A31" s="4" t="s">
        <v>152</v>
      </c>
      <c r="B31" s="4" t="s">
        <v>132</v>
      </c>
      <c r="C31" s="4" t="s">
        <v>153</v>
      </c>
      <c r="D31" s="4" t="s">
        <v>154</v>
      </c>
      <c r="E31" s="4" t="s">
        <v>155</v>
      </c>
      <c r="F31" s="4" t="s">
        <v>156</v>
      </c>
      <c r="G31" s="4" t="s">
        <v>37</v>
      </c>
      <c r="H31" s="4" t="s">
        <v>318</v>
      </c>
      <c r="I31" s="4" t="s">
        <v>4</v>
      </c>
      <c r="J31" s="4"/>
      <c r="K31" s="5">
        <v>46253</v>
      </c>
      <c r="L31" s="5">
        <v>46258</v>
      </c>
      <c r="M31" s="5"/>
      <c r="N31" s="4"/>
      <c r="O31" s="4" t="s">
        <v>27</v>
      </c>
      <c r="P31" s="4"/>
    </row>
    <row r="32" spans="1:16" ht="24" x14ac:dyDescent="0.3">
      <c r="A32" s="4" t="s">
        <v>157</v>
      </c>
      <c r="B32" s="4" t="s">
        <v>132</v>
      </c>
      <c r="C32" s="4" t="s">
        <v>158</v>
      </c>
      <c r="D32" s="4" t="s">
        <v>159</v>
      </c>
      <c r="E32" s="4" t="s">
        <v>160</v>
      </c>
      <c r="F32" s="4" t="s">
        <v>161</v>
      </c>
      <c r="G32" s="4" t="s">
        <v>5</v>
      </c>
      <c r="H32" s="4"/>
      <c r="I32" s="4" t="s">
        <v>4</v>
      </c>
      <c r="J32" s="4"/>
      <c r="K32" s="5">
        <v>46253</v>
      </c>
      <c r="L32" s="5">
        <v>46258</v>
      </c>
      <c r="M32" s="5"/>
      <c r="N32" s="4"/>
      <c r="O32" s="4" t="s">
        <v>27</v>
      </c>
      <c r="P32" s="4"/>
    </row>
    <row r="33" spans="1:16" ht="24" x14ac:dyDescent="0.3">
      <c r="A33" s="4" t="s">
        <v>162</v>
      </c>
      <c r="B33" s="4" t="s">
        <v>132</v>
      </c>
      <c r="C33" s="4" t="s">
        <v>163</v>
      </c>
      <c r="D33" s="4" t="s">
        <v>164</v>
      </c>
      <c r="E33" s="4" t="s">
        <v>165</v>
      </c>
      <c r="F33" s="4" t="s">
        <v>166</v>
      </c>
      <c r="G33" s="4" t="s">
        <v>37</v>
      </c>
      <c r="H33" s="4" t="s">
        <v>318</v>
      </c>
      <c r="I33" s="4" t="s">
        <v>4</v>
      </c>
      <c r="J33" s="4"/>
      <c r="K33" s="5">
        <v>46253</v>
      </c>
      <c r="L33" s="5">
        <v>46258</v>
      </c>
      <c r="M33" s="5"/>
      <c r="N33" s="4"/>
      <c r="O33" s="4" t="s">
        <v>27</v>
      </c>
      <c r="P33" s="4"/>
    </row>
    <row r="34" spans="1:16" ht="36" x14ac:dyDescent="0.3">
      <c r="A34" s="4" t="s">
        <v>167</v>
      </c>
      <c r="B34" s="4" t="s">
        <v>168</v>
      </c>
      <c r="C34" s="4" t="s">
        <v>61</v>
      </c>
      <c r="D34" s="4" t="s">
        <v>169</v>
      </c>
      <c r="E34" s="4" t="s">
        <v>170</v>
      </c>
      <c r="F34" s="4" t="s">
        <v>171</v>
      </c>
      <c r="G34" s="4" t="s">
        <v>5</v>
      </c>
      <c r="H34" s="4" t="s">
        <v>333</v>
      </c>
      <c r="I34" s="4" t="s">
        <v>325</v>
      </c>
      <c r="J34" s="4"/>
      <c r="K34" s="5">
        <v>46253</v>
      </c>
      <c r="L34" s="5">
        <v>46258</v>
      </c>
      <c r="M34" s="5"/>
      <c r="N34" s="4"/>
      <c r="O34" s="4" t="s">
        <v>27</v>
      </c>
      <c r="P34" s="4"/>
    </row>
    <row r="35" spans="1:16" ht="24" x14ac:dyDescent="0.3">
      <c r="A35" s="4" t="s">
        <v>172</v>
      </c>
      <c r="B35" s="4" t="s">
        <v>168</v>
      </c>
      <c r="C35" s="4" t="s">
        <v>173</v>
      </c>
      <c r="D35" s="4" t="s">
        <v>174</v>
      </c>
      <c r="E35" s="4" t="s">
        <v>175</v>
      </c>
      <c r="F35" s="4" t="s">
        <v>176</v>
      </c>
      <c r="G35" s="4" t="s">
        <v>37</v>
      </c>
      <c r="H35" s="4" t="s">
        <v>328</v>
      </c>
      <c r="I35" s="4" t="s">
        <v>325</v>
      </c>
      <c r="J35" s="4"/>
      <c r="K35" s="5">
        <v>46253</v>
      </c>
      <c r="L35" s="5">
        <v>46258</v>
      </c>
      <c r="M35" s="5"/>
      <c r="N35" s="4"/>
      <c r="O35" s="4" t="s">
        <v>27</v>
      </c>
      <c r="P35" s="4"/>
    </row>
    <row r="36" spans="1:16" ht="24" x14ac:dyDescent="0.3">
      <c r="A36" s="4" t="s">
        <v>177</v>
      </c>
      <c r="B36" s="4" t="s">
        <v>168</v>
      </c>
      <c r="C36" s="4" t="s">
        <v>178</v>
      </c>
      <c r="D36" s="4" t="s">
        <v>179</v>
      </c>
      <c r="E36" s="4" t="s">
        <v>180</v>
      </c>
      <c r="F36" s="4" t="s">
        <v>181</v>
      </c>
      <c r="G36" s="4" t="s">
        <v>5</v>
      </c>
      <c r="H36" s="4" t="s">
        <v>334</v>
      </c>
      <c r="I36" s="4" t="s">
        <v>324</v>
      </c>
      <c r="J36" s="4"/>
      <c r="K36" s="5">
        <v>46253</v>
      </c>
      <c r="L36" s="5">
        <v>46258</v>
      </c>
      <c r="M36" s="5"/>
      <c r="N36" s="4"/>
      <c r="O36" s="4" t="s">
        <v>27</v>
      </c>
      <c r="P36" s="4" t="s">
        <v>327</v>
      </c>
    </row>
    <row r="37" spans="1:16" ht="24" x14ac:dyDescent="0.3">
      <c r="A37" s="4" t="s">
        <v>182</v>
      </c>
      <c r="B37" s="4" t="s">
        <v>168</v>
      </c>
      <c r="C37" s="4" t="s">
        <v>183</v>
      </c>
      <c r="D37" s="4" t="s">
        <v>184</v>
      </c>
      <c r="E37" s="4" t="s">
        <v>185</v>
      </c>
      <c r="F37" s="4" t="s">
        <v>186</v>
      </c>
      <c r="G37" s="4" t="s">
        <v>5</v>
      </c>
      <c r="H37" s="4" t="s">
        <v>333</v>
      </c>
      <c r="I37" s="4" t="s">
        <v>324</v>
      </c>
      <c r="J37" s="4"/>
      <c r="K37" s="5">
        <v>46253</v>
      </c>
      <c r="L37" s="5">
        <v>46258</v>
      </c>
      <c r="M37" s="5"/>
      <c r="N37" s="4"/>
      <c r="O37" s="4" t="s">
        <v>27</v>
      </c>
      <c r="P37" s="4" t="s">
        <v>327</v>
      </c>
    </row>
    <row r="38" spans="1:16" ht="24" x14ac:dyDescent="0.3">
      <c r="A38" s="4" t="s">
        <v>187</v>
      </c>
      <c r="B38" s="4" t="s">
        <v>168</v>
      </c>
      <c r="C38" s="4" t="s">
        <v>188</v>
      </c>
      <c r="D38" s="4" t="s">
        <v>189</v>
      </c>
      <c r="E38" s="4" t="s">
        <v>190</v>
      </c>
      <c r="F38" s="4" t="s">
        <v>191</v>
      </c>
      <c r="G38" s="4" t="s">
        <v>5</v>
      </c>
      <c r="H38" s="4" t="s">
        <v>334</v>
      </c>
      <c r="I38" s="4" t="s">
        <v>325</v>
      </c>
      <c r="J38" s="4"/>
      <c r="K38" s="5">
        <v>46253</v>
      </c>
      <c r="L38" s="5">
        <v>46258</v>
      </c>
      <c r="M38" s="5"/>
      <c r="N38" s="4"/>
      <c r="O38" s="4" t="s">
        <v>27</v>
      </c>
      <c r="P38" s="4"/>
    </row>
    <row r="39" spans="1:16" ht="24" x14ac:dyDescent="0.3">
      <c r="A39" s="4" t="s">
        <v>192</v>
      </c>
      <c r="B39" s="4" t="s">
        <v>168</v>
      </c>
      <c r="C39" s="4" t="s">
        <v>193</v>
      </c>
      <c r="D39" s="4" t="s">
        <v>194</v>
      </c>
      <c r="E39" s="4" t="s">
        <v>195</v>
      </c>
      <c r="F39" s="4" t="s">
        <v>196</v>
      </c>
      <c r="G39" s="4" t="s">
        <v>5</v>
      </c>
      <c r="H39" s="4" t="s">
        <v>334</v>
      </c>
      <c r="I39" s="4" t="s">
        <v>325</v>
      </c>
      <c r="J39" s="4"/>
      <c r="K39" s="5">
        <v>46253</v>
      </c>
      <c r="L39" s="5">
        <v>46258</v>
      </c>
      <c r="M39" s="5"/>
      <c r="N39" s="4"/>
      <c r="O39" s="4" t="s">
        <v>27</v>
      </c>
      <c r="P39" s="4"/>
    </row>
    <row r="40" spans="1:16" ht="36" x14ac:dyDescent="0.3">
      <c r="A40" s="4" t="s">
        <v>197</v>
      </c>
      <c r="B40" s="4" t="s">
        <v>168</v>
      </c>
      <c r="C40" s="4" t="s">
        <v>198</v>
      </c>
      <c r="D40" s="4" t="s">
        <v>199</v>
      </c>
      <c r="E40" s="4" t="s">
        <v>200</v>
      </c>
      <c r="F40" s="4" t="s">
        <v>201</v>
      </c>
      <c r="G40" s="4" t="s">
        <v>5</v>
      </c>
      <c r="H40" s="4" t="s">
        <v>334</v>
      </c>
      <c r="I40" s="4" t="s">
        <v>326</v>
      </c>
      <c r="J40" s="4"/>
      <c r="K40" s="5">
        <v>46253</v>
      </c>
      <c r="L40" s="5">
        <v>46258</v>
      </c>
      <c r="M40" s="5"/>
      <c r="N40" s="4"/>
      <c r="O40" s="4" t="s">
        <v>27</v>
      </c>
      <c r="P40" s="4"/>
    </row>
    <row r="41" spans="1:16" ht="24" x14ac:dyDescent="0.3">
      <c r="A41" s="4" t="s">
        <v>202</v>
      </c>
      <c r="B41" s="4" t="s">
        <v>203</v>
      </c>
      <c r="C41" s="4" t="s">
        <v>204</v>
      </c>
      <c r="D41" s="4" t="s">
        <v>205</v>
      </c>
      <c r="E41" s="4" t="s">
        <v>206</v>
      </c>
      <c r="F41" s="4" t="s">
        <v>207</v>
      </c>
      <c r="G41" s="4" t="s">
        <v>5</v>
      </c>
      <c r="H41" s="4" t="s">
        <v>318</v>
      </c>
      <c r="I41" s="4" t="s">
        <v>326</v>
      </c>
      <c r="J41" s="4"/>
      <c r="K41" s="5">
        <v>46253</v>
      </c>
      <c r="L41" s="5">
        <v>46258</v>
      </c>
      <c r="M41" s="5"/>
      <c r="N41" s="4"/>
      <c r="O41" s="4" t="s">
        <v>27</v>
      </c>
      <c r="P41" s="4"/>
    </row>
    <row r="42" spans="1:16" ht="24" x14ac:dyDescent="0.3">
      <c r="A42" s="4" t="s">
        <v>208</v>
      </c>
      <c r="B42" s="4" t="s">
        <v>203</v>
      </c>
      <c r="C42" s="4" t="s">
        <v>209</v>
      </c>
      <c r="D42" s="4" t="s">
        <v>210</v>
      </c>
      <c r="E42" s="4" t="s">
        <v>211</v>
      </c>
      <c r="F42" s="4" t="s">
        <v>212</v>
      </c>
      <c r="G42" s="4" t="s">
        <v>37</v>
      </c>
      <c r="H42" s="4"/>
      <c r="I42" s="4" t="s">
        <v>326</v>
      </c>
      <c r="J42" s="4"/>
      <c r="K42" s="5">
        <v>46253</v>
      </c>
      <c r="L42" s="5">
        <v>46258</v>
      </c>
      <c r="M42" s="5"/>
      <c r="N42" s="4"/>
      <c r="O42" s="4" t="s">
        <v>27</v>
      </c>
      <c r="P42" s="4"/>
    </row>
    <row r="43" spans="1:16" ht="24" x14ac:dyDescent="0.3">
      <c r="A43" s="4" t="s">
        <v>213</v>
      </c>
      <c r="B43" s="4" t="s">
        <v>203</v>
      </c>
      <c r="C43" s="4" t="s">
        <v>214</v>
      </c>
      <c r="D43" s="4" t="s">
        <v>215</v>
      </c>
      <c r="E43" s="4" t="s">
        <v>216</v>
      </c>
      <c r="F43" s="4" t="s">
        <v>217</v>
      </c>
      <c r="G43" s="4" t="s">
        <v>5</v>
      </c>
      <c r="H43" s="4" t="s">
        <v>318</v>
      </c>
      <c r="I43" s="4" t="s">
        <v>326</v>
      </c>
      <c r="J43" s="4"/>
      <c r="K43" s="5">
        <v>46253</v>
      </c>
      <c r="L43" s="5">
        <v>46258</v>
      </c>
      <c r="M43" s="5"/>
      <c r="N43" s="4"/>
      <c r="O43" s="4" t="s">
        <v>27</v>
      </c>
      <c r="P43" s="4"/>
    </row>
    <row r="44" spans="1:16" ht="24" x14ac:dyDescent="0.3">
      <c r="A44" s="4" t="s">
        <v>218</v>
      </c>
      <c r="B44" s="4" t="s">
        <v>203</v>
      </c>
      <c r="C44" s="4" t="s">
        <v>219</v>
      </c>
      <c r="D44" s="4" t="s">
        <v>220</v>
      </c>
      <c r="E44" s="4" t="s">
        <v>221</v>
      </c>
      <c r="F44" s="4" t="s">
        <v>222</v>
      </c>
      <c r="G44" s="4" t="s">
        <v>5</v>
      </c>
      <c r="H44" s="4" t="s">
        <v>318</v>
      </c>
      <c r="I44" s="4" t="s">
        <v>326</v>
      </c>
      <c r="J44" s="4"/>
      <c r="K44" s="5">
        <v>46253</v>
      </c>
      <c r="L44" s="5">
        <v>46258</v>
      </c>
      <c r="M44" s="5"/>
      <c r="N44" s="4"/>
      <c r="O44" s="4" t="s">
        <v>27</v>
      </c>
      <c r="P44" s="4"/>
    </row>
    <row r="45" spans="1:16" ht="24" x14ac:dyDescent="0.3">
      <c r="A45" s="4" t="s">
        <v>223</v>
      </c>
      <c r="B45" s="4" t="s">
        <v>203</v>
      </c>
      <c r="C45" s="4" t="s">
        <v>224</v>
      </c>
      <c r="D45" s="4" t="s">
        <v>225</v>
      </c>
      <c r="E45" s="4" t="s">
        <v>226</v>
      </c>
      <c r="F45" s="4" t="s">
        <v>227</v>
      </c>
      <c r="G45" s="4" t="s">
        <v>5</v>
      </c>
      <c r="H45" s="4"/>
      <c r="I45" s="4" t="s">
        <v>326</v>
      </c>
      <c r="J45" s="4"/>
      <c r="K45" s="5">
        <v>46253</v>
      </c>
      <c r="L45" s="5">
        <v>46258</v>
      </c>
      <c r="M45" s="5"/>
      <c r="N45" s="4"/>
      <c r="O45" s="4" t="s">
        <v>27</v>
      </c>
      <c r="P45" s="4"/>
    </row>
    <row r="46" spans="1:16" ht="24" x14ac:dyDescent="0.3">
      <c r="A46" s="4" t="s">
        <v>228</v>
      </c>
      <c r="B46" s="4" t="s">
        <v>203</v>
      </c>
      <c r="C46" s="4" t="s">
        <v>229</v>
      </c>
      <c r="D46" s="4" t="s">
        <v>230</v>
      </c>
      <c r="E46" s="4" t="s">
        <v>231</v>
      </c>
      <c r="F46" s="4" t="s">
        <v>232</v>
      </c>
      <c r="G46" s="4" t="s">
        <v>5</v>
      </c>
      <c r="H46" s="4" t="s">
        <v>318</v>
      </c>
      <c r="I46" s="4" t="s">
        <v>326</v>
      </c>
      <c r="J46" s="4"/>
      <c r="K46" s="5">
        <v>46253</v>
      </c>
      <c r="L46" s="5">
        <v>46258</v>
      </c>
      <c r="M46" s="5"/>
      <c r="N46" s="4"/>
      <c r="O46" s="4" t="s">
        <v>27</v>
      </c>
      <c r="P46" s="4"/>
    </row>
    <row r="47" spans="1:16" ht="24" x14ac:dyDescent="0.3">
      <c r="A47" s="4" t="s">
        <v>233</v>
      </c>
      <c r="B47" s="4" t="s">
        <v>203</v>
      </c>
      <c r="C47" s="4" t="s">
        <v>234</v>
      </c>
      <c r="D47" s="4" t="s">
        <v>235</v>
      </c>
      <c r="E47" s="4" t="s">
        <v>236</v>
      </c>
      <c r="F47" s="4" t="s">
        <v>237</v>
      </c>
      <c r="G47" s="4" t="s">
        <v>37</v>
      </c>
      <c r="H47" s="4" t="s">
        <v>318</v>
      </c>
      <c r="I47" s="4" t="s">
        <v>326</v>
      </c>
      <c r="J47" s="4"/>
      <c r="K47" s="5">
        <v>46253</v>
      </c>
      <c r="L47" s="5">
        <v>46258</v>
      </c>
      <c r="M47" s="5"/>
      <c r="N47" s="4"/>
      <c r="O47" s="4" t="s">
        <v>27</v>
      </c>
      <c r="P47" s="4"/>
    </row>
    <row r="48" spans="1:16" ht="24" x14ac:dyDescent="0.3">
      <c r="A48" s="4" t="s">
        <v>238</v>
      </c>
      <c r="B48" s="4" t="s">
        <v>239</v>
      </c>
      <c r="C48" s="4" t="s">
        <v>240</v>
      </c>
      <c r="D48" s="4" t="s">
        <v>241</v>
      </c>
      <c r="E48" s="4" t="s">
        <v>242</v>
      </c>
      <c r="F48" s="4" t="s">
        <v>243</v>
      </c>
      <c r="G48" s="4" t="s">
        <v>5</v>
      </c>
      <c r="H48" s="4" t="s">
        <v>318</v>
      </c>
      <c r="I48" s="4" t="s">
        <v>326</v>
      </c>
      <c r="J48" s="4"/>
      <c r="K48" s="5">
        <v>46253</v>
      </c>
      <c r="L48" s="5">
        <v>46258</v>
      </c>
      <c r="M48" s="5"/>
      <c r="N48" s="4"/>
      <c r="O48" s="4" t="s">
        <v>27</v>
      </c>
      <c r="P48" s="4"/>
    </row>
    <row r="49" spans="1:16" ht="24" x14ac:dyDescent="0.3">
      <c r="A49" s="4" t="s">
        <v>244</v>
      </c>
      <c r="B49" s="4" t="s">
        <v>239</v>
      </c>
      <c r="C49" s="4" t="s">
        <v>245</v>
      </c>
      <c r="D49" s="4" t="s">
        <v>246</v>
      </c>
      <c r="E49" s="4" t="s">
        <v>247</v>
      </c>
      <c r="F49" s="4" t="s">
        <v>248</v>
      </c>
      <c r="G49" s="4" t="s">
        <v>5</v>
      </c>
      <c r="H49" s="4"/>
      <c r="I49" s="4" t="s">
        <v>326</v>
      </c>
      <c r="J49" s="4"/>
      <c r="K49" s="5">
        <v>46253</v>
      </c>
      <c r="L49" s="5">
        <v>46258</v>
      </c>
      <c r="M49" s="5"/>
      <c r="N49" s="4"/>
      <c r="O49" s="4" t="s">
        <v>27</v>
      </c>
      <c r="P49" s="4"/>
    </row>
    <row r="50" spans="1:16" ht="24" x14ac:dyDescent="0.3">
      <c r="A50" s="4" t="s">
        <v>249</v>
      </c>
      <c r="B50" s="4" t="s">
        <v>239</v>
      </c>
      <c r="C50" s="4" t="s">
        <v>250</v>
      </c>
      <c r="D50" s="4" t="s">
        <v>251</v>
      </c>
      <c r="E50" s="4" t="s">
        <v>252</v>
      </c>
      <c r="F50" s="4" t="s">
        <v>253</v>
      </c>
      <c r="G50" s="4" t="s">
        <v>5</v>
      </c>
      <c r="H50" s="4" t="s">
        <v>318</v>
      </c>
      <c r="I50" s="4" t="s">
        <v>326</v>
      </c>
      <c r="J50" s="4"/>
      <c r="K50" s="5">
        <v>46253</v>
      </c>
      <c r="L50" s="5">
        <v>46258</v>
      </c>
      <c r="M50" s="5"/>
      <c r="N50" s="4"/>
      <c r="O50" s="4" t="s">
        <v>27</v>
      </c>
      <c r="P50" s="4"/>
    </row>
    <row r="51" spans="1:16" ht="24" x14ac:dyDescent="0.3">
      <c r="A51" s="4" t="s">
        <v>254</v>
      </c>
      <c r="B51" s="4" t="s">
        <v>239</v>
      </c>
      <c r="C51" s="4" t="s">
        <v>255</v>
      </c>
      <c r="D51" s="4" t="s">
        <v>256</v>
      </c>
      <c r="E51" s="4" t="s">
        <v>257</v>
      </c>
      <c r="F51" s="4" t="s">
        <v>258</v>
      </c>
      <c r="G51" s="4" t="s">
        <v>5</v>
      </c>
      <c r="H51" s="4"/>
      <c r="I51" s="4" t="s">
        <v>326</v>
      </c>
      <c r="J51" s="4"/>
      <c r="K51" s="5">
        <v>46253</v>
      </c>
      <c r="L51" s="5">
        <v>46258</v>
      </c>
      <c r="M51" s="5"/>
      <c r="N51" s="4"/>
      <c r="O51" s="4" t="s">
        <v>27</v>
      </c>
      <c r="P51" s="4"/>
    </row>
    <row r="52" spans="1:16" ht="24" x14ac:dyDescent="0.3">
      <c r="A52" s="4" t="s">
        <v>259</v>
      </c>
      <c r="B52" s="4" t="s">
        <v>239</v>
      </c>
      <c r="C52" s="4" t="s">
        <v>260</v>
      </c>
      <c r="D52" s="4" t="s">
        <v>261</v>
      </c>
      <c r="E52" s="4" t="s">
        <v>262</v>
      </c>
      <c r="F52" s="4" t="s">
        <v>263</v>
      </c>
      <c r="G52" s="4" t="s">
        <v>37</v>
      </c>
      <c r="H52" s="4"/>
      <c r="I52" s="4" t="s">
        <v>326</v>
      </c>
      <c r="J52" s="4"/>
      <c r="K52" s="5">
        <v>46253</v>
      </c>
      <c r="L52" s="5">
        <v>46258</v>
      </c>
      <c r="M52" s="5"/>
      <c r="N52" s="4"/>
      <c r="O52" s="4" t="s">
        <v>27</v>
      </c>
      <c r="P52" s="4"/>
    </row>
    <row r="53" spans="1:16" ht="24" x14ac:dyDescent="0.3">
      <c r="A53" s="4" t="s">
        <v>264</v>
      </c>
      <c r="B53" s="4" t="s">
        <v>239</v>
      </c>
      <c r="C53" s="4" t="s">
        <v>265</v>
      </c>
      <c r="D53" s="4" t="s">
        <v>266</v>
      </c>
      <c r="E53" s="4" t="s">
        <v>267</v>
      </c>
      <c r="F53" s="4" t="s">
        <v>268</v>
      </c>
      <c r="G53" s="4" t="s">
        <v>37</v>
      </c>
      <c r="H53" s="4" t="s">
        <v>318</v>
      </c>
      <c r="I53" s="4" t="s">
        <v>326</v>
      </c>
      <c r="J53" s="4"/>
      <c r="K53" s="5">
        <v>46253</v>
      </c>
      <c r="L53" s="5">
        <v>46258</v>
      </c>
      <c r="M53" s="5"/>
      <c r="N53" s="4"/>
      <c r="O53" s="4" t="s">
        <v>27</v>
      </c>
      <c r="P53" s="4"/>
    </row>
    <row r="54" spans="1:16" ht="24" x14ac:dyDescent="0.3">
      <c r="A54" s="4" t="s">
        <v>269</v>
      </c>
      <c r="B54" s="4" t="s">
        <v>239</v>
      </c>
      <c r="C54" s="4" t="s">
        <v>270</v>
      </c>
      <c r="D54" s="4" t="s">
        <v>271</v>
      </c>
      <c r="E54" s="4" t="s">
        <v>272</v>
      </c>
      <c r="F54" s="4" t="s">
        <v>273</v>
      </c>
      <c r="G54" s="4" t="s">
        <v>37</v>
      </c>
      <c r="H54" s="4" t="s">
        <v>318</v>
      </c>
      <c r="I54" s="4" t="s">
        <v>326</v>
      </c>
      <c r="J54" s="4"/>
      <c r="K54" s="5">
        <v>46253</v>
      </c>
      <c r="L54" s="5">
        <v>46258</v>
      </c>
      <c r="M54" s="5"/>
      <c r="N54" s="4"/>
      <c r="O54" s="4" t="s">
        <v>27</v>
      </c>
      <c r="P54" s="4"/>
    </row>
  </sheetData>
  <mergeCells count="2">
    <mergeCell ref="A1:P1"/>
    <mergeCell ref="A2:P2"/>
  </mergeCells>
  <conditionalFormatting sqref="G6:G54">
    <cfRule type="expression" dxfId="7" priority="4">
      <formula>G6="Critical"</formula>
    </cfRule>
    <cfRule type="expression" dxfId="6" priority="5">
      <formula>G6="High"</formula>
    </cfRule>
  </conditionalFormatting>
  <conditionalFormatting sqref="I6:I54">
    <cfRule type="expression" dxfId="5" priority="1">
      <formula>OR(I6="Validated / Sufficient",I6="Received")</formula>
    </cfRule>
    <cfRule type="expression" dxfId="4" priority="2">
      <formula>OR(I6="Partially Received",I6="Known Existing – Validate",I6="Current Evidence Received",I6="Validated / Partial")</formula>
    </cfRule>
    <cfRule type="expression" dxfId="3" priority="3">
      <formula>I6="Not Available"</formula>
    </cfRule>
  </conditionalFormatting>
  <dataValidations count="3">
    <dataValidation type="list" sqref="G6:G54" xr:uid="{00000000-0002-0000-0000-000000000000}">
      <formula1>"Critical,High,Medium,Low"</formula1>
    </dataValidation>
    <dataValidation type="list" sqref="I6:I54" xr:uid="{00000000-0002-0000-0000-000001000000}">
      <formula1>"To Request,Requested,Partially Received,Received,Current Evidence Received,Known Existing – Validate,Validated / Sufficient,Validated / Partial,Not Available,N/A"</formula1>
    </dataValidation>
    <dataValidation type="list" sqref="O6:O54" xr:uid="{00000000-0002-0000-0000-000002000000}">
      <formula1>"Not Reviewed,Sufficient,Partial,Needs Clarification,Not Relevant"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"/>
  <sheetViews>
    <sheetView tabSelected="1" topLeftCell="E1" workbookViewId="0">
      <selection activeCell="H9" sqref="H9"/>
    </sheetView>
  </sheetViews>
  <sheetFormatPr defaultRowHeight="14.4" x14ac:dyDescent="0.3"/>
  <cols>
    <col min="1" max="1" width="12" customWidth="1"/>
    <col min="2" max="3" width="24" customWidth="1"/>
    <col min="4" max="4" width="22" customWidth="1"/>
    <col min="5" max="5" width="43" customWidth="1"/>
    <col min="6" max="6" width="13" customWidth="1"/>
    <col min="7" max="7" width="46" customWidth="1"/>
    <col min="8" max="8" width="18" customWidth="1"/>
    <col min="9" max="9" width="30" customWidth="1"/>
    <col min="10" max="10" width="43" customWidth="1"/>
  </cols>
  <sheetData>
    <row r="1" spans="1:10" ht="22.35" customHeight="1" x14ac:dyDescent="0.3">
      <c r="A1" s="6" t="s">
        <v>274</v>
      </c>
      <c r="B1" s="6"/>
      <c r="C1" s="6"/>
      <c r="D1" s="6"/>
      <c r="E1" s="6"/>
      <c r="F1" s="6"/>
      <c r="G1" s="6"/>
      <c r="H1" s="6"/>
      <c r="I1" s="6"/>
      <c r="J1" s="6"/>
    </row>
    <row r="2" spans="1:10" ht="27.15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</row>
    <row r="5" spans="1:10" ht="30.45" customHeight="1" x14ac:dyDescent="0.3">
      <c r="A5" s="3" t="s">
        <v>275</v>
      </c>
      <c r="B5" s="3" t="s">
        <v>276</v>
      </c>
      <c r="C5" s="3" t="s">
        <v>277</v>
      </c>
      <c r="D5" s="3" t="s">
        <v>278</v>
      </c>
      <c r="E5" s="3" t="s">
        <v>279</v>
      </c>
      <c r="F5" s="3" t="s">
        <v>280</v>
      </c>
      <c r="G5" s="3" t="s">
        <v>281</v>
      </c>
      <c r="H5" s="3" t="s">
        <v>282</v>
      </c>
      <c r="I5" s="3" t="s">
        <v>283</v>
      </c>
      <c r="J5" s="3" t="s">
        <v>284</v>
      </c>
    </row>
    <row r="6" spans="1:10" ht="24" x14ac:dyDescent="0.3">
      <c r="A6" s="4" t="s">
        <v>285</v>
      </c>
      <c r="B6" s="4" t="s">
        <v>286</v>
      </c>
      <c r="C6" s="4" t="s">
        <v>287</v>
      </c>
      <c r="D6" s="4"/>
      <c r="E6" s="4" t="s">
        <v>288</v>
      </c>
      <c r="F6" s="4" t="s">
        <v>289</v>
      </c>
      <c r="G6" s="4" t="s">
        <v>290</v>
      </c>
      <c r="H6" s="4"/>
      <c r="I6" s="4" t="s">
        <v>291</v>
      </c>
      <c r="J6" s="4" t="s">
        <v>292</v>
      </c>
    </row>
    <row r="7" spans="1:10" ht="24" x14ac:dyDescent="0.3">
      <c r="A7" s="4" t="s">
        <v>293</v>
      </c>
      <c r="B7" s="4" t="s">
        <v>318</v>
      </c>
      <c r="C7" s="4"/>
      <c r="D7" s="4"/>
      <c r="E7" s="4" t="s">
        <v>320</v>
      </c>
      <c r="F7" s="4"/>
      <c r="G7" s="4" t="s">
        <v>321</v>
      </c>
      <c r="H7" s="4" t="s">
        <v>322</v>
      </c>
      <c r="I7" s="4" t="s">
        <v>294</v>
      </c>
      <c r="J7" s="4"/>
    </row>
    <row r="8" spans="1:10" ht="24" x14ac:dyDescent="0.3">
      <c r="A8" s="4" t="s">
        <v>335</v>
      </c>
      <c r="B8" s="4" t="s">
        <v>329</v>
      </c>
      <c r="C8" s="4" t="s">
        <v>330</v>
      </c>
      <c r="D8" s="4"/>
      <c r="E8" s="9" t="s">
        <v>328</v>
      </c>
      <c r="F8" s="4" t="s">
        <v>331</v>
      </c>
      <c r="G8" s="4"/>
      <c r="H8" s="4" t="s">
        <v>332</v>
      </c>
      <c r="I8" s="4" t="s">
        <v>291</v>
      </c>
      <c r="J8" s="4" t="s">
        <v>292</v>
      </c>
    </row>
    <row r="9" spans="1:10" x14ac:dyDescent="0.3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3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3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3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3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x14ac:dyDescent="0.3">
      <c r="A50" s="4"/>
      <c r="B50" s="4"/>
      <c r="C50" s="4"/>
      <c r="D50" s="4"/>
      <c r="E50" s="4"/>
      <c r="F50" s="4"/>
      <c r="G50" s="4"/>
      <c r="H50" s="4"/>
      <c r="I50" s="4"/>
      <c r="J50" s="4"/>
    </row>
  </sheetData>
  <mergeCells count="2">
    <mergeCell ref="A1:J1"/>
    <mergeCell ref="A2:J2"/>
  </mergeCells>
  <phoneticPr fontId="7" type="noConversion"/>
  <conditionalFormatting sqref="I6:I50">
    <cfRule type="expression" dxfId="2" priority="1">
      <formula>ISNUMBER(SEARCH("Issue",I6))</formula>
    </cfRule>
    <cfRule type="expression" dxfId="1" priority="2">
      <formula>ISNUMBER(SEARCH("Received",I6))</formula>
    </cfRule>
    <cfRule type="expression" dxfId="0" priority="3">
      <formula>ISNUMBER(SEARCH("Legacy",I6))</formula>
    </cfRule>
  </conditionalFormatting>
  <hyperlinks>
    <hyperlink ref="E8" r:id="rId1" xr:uid="{88BD2FFA-3A8A-4881-BEE6-223531B17361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I3" sqref="I3"/>
    </sheetView>
  </sheetViews>
  <sheetFormatPr defaultRowHeight="14.4" x14ac:dyDescent="0.3"/>
  <cols>
    <col min="1" max="1" width="36" customWidth="1"/>
    <col min="2" max="2" width="55" customWidth="1"/>
    <col min="3" max="3" width="15" customWidth="1"/>
    <col min="4" max="4" width="22" customWidth="1"/>
    <col min="5" max="5" width="15" customWidth="1"/>
    <col min="6" max="6" width="58" customWidth="1"/>
    <col min="8" max="8" width="21.33203125" bestFit="1" customWidth="1"/>
  </cols>
  <sheetData>
    <row r="1" spans="1:9" ht="21" x14ac:dyDescent="0.3">
      <c r="A1" s="6" t="s">
        <v>295</v>
      </c>
      <c r="B1" s="6"/>
      <c r="C1" s="6"/>
      <c r="D1" s="6"/>
      <c r="E1" s="6"/>
      <c r="F1" s="6"/>
    </row>
    <row r="2" spans="1:9" x14ac:dyDescent="0.3">
      <c r="A2" s="8" t="s">
        <v>296</v>
      </c>
      <c r="B2" s="8"/>
      <c r="C2" s="8"/>
      <c r="D2" s="8"/>
      <c r="E2" s="8"/>
      <c r="F2" s="8"/>
      <c r="H2" s="1" t="s">
        <v>2</v>
      </c>
      <c r="I2" s="1">
        <v>49</v>
      </c>
    </row>
    <row r="3" spans="1:9" x14ac:dyDescent="0.3">
      <c r="H3" s="1" t="s">
        <v>297</v>
      </c>
      <c r="I3" s="1">
        <v>40</v>
      </c>
    </row>
    <row r="4" spans="1:9" x14ac:dyDescent="0.3">
      <c r="A4" s="3" t="s">
        <v>7</v>
      </c>
      <c r="B4" s="3" t="s">
        <v>298</v>
      </c>
      <c r="C4" s="3" t="s">
        <v>299</v>
      </c>
      <c r="D4" s="3" t="s">
        <v>300</v>
      </c>
      <c r="E4" s="3" t="s">
        <v>4</v>
      </c>
      <c r="F4" s="3" t="s">
        <v>301</v>
      </c>
      <c r="H4" s="1" t="s">
        <v>4</v>
      </c>
      <c r="I4" s="1">
        <v>9</v>
      </c>
    </row>
    <row r="5" spans="1:9" ht="24" x14ac:dyDescent="0.3">
      <c r="A5" s="4" t="s">
        <v>23</v>
      </c>
      <c r="B5" s="4" t="s">
        <v>302</v>
      </c>
      <c r="C5" s="4">
        <f>COUNTIF('Request Tracker'!$B$6:$B$200,A5)</f>
        <v>7</v>
      </c>
      <c r="D5" s="4">
        <f>COUNTIFS('Request Tracker'!$B$6:$B$200,A5,'Request Tracker'!$I$6:$I$200,"&lt;&gt;To Request")</f>
        <v>1</v>
      </c>
      <c r="E5" s="4">
        <f>COUNTIFS('Request Tracker'!$B$6:$B$200,A5,'Request Tracker'!$I$6:$I$200,"To Request")</f>
        <v>6</v>
      </c>
      <c r="F5" s="4" t="s">
        <v>303</v>
      </c>
      <c r="H5" s="1" t="s">
        <v>304</v>
      </c>
      <c r="I5" s="1">
        <v>40</v>
      </c>
    </row>
    <row r="6" spans="1:9" ht="24" x14ac:dyDescent="0.3">
      <c r="A6" s="4" t="s">
        <v>60</v>
      </c>
      <c r="B6" s="4" t="s">
        <v>305</v>
      </c>
      <c r="C6" s="4">
        <f>COUNTIF('Request Tracker'!$B$6:$B$200,A6)</f>
        <v>7</v>
      </c>
      <c r="D6" s="4">
        <f>COUNTIFS('Request Tracker'!$B$6:$B$200,A6,'Request Tracker'!$I$6:$I$200,"&lt;&gt;To Request")</f>
        <v>3</v>
      </c>
      <c r="E6" s="4">
        <f>COUNTIFS('Request Tracker'!$B$6:$B$200,A6,'Request Tracker'!$I$6:$I$200,"To Request")</f>
        <v>4</v>
      </c>
      <c r="F6" s="4" t="s">
        <v>306</v>
      </c>
    </row>
    <row r="7" spans="1:9" ht="24" x14ac:dyDescent="0.3">
      <c r="A7" s="4" t="s">
        <v>96</v>
      </c>
      <c r="B7" s="4" t="s">
        <v>307</v>
      </c>
      <c r="C7" s="4">
        <f>COUNTIF('Request Tracker'!$B$6:$B$200,A7)</f>
        <v>7</v>
      </c>
      <c r="D7" s="4">
        <f>COUNTIFS('Request Tracker'!$B$6:$B$200,A7,'Request Tracker'!$I$6:$I$200,"&lt;&gt;To Request")</f>
        <v>0</v>
      </c>
      <c r="E7" s="4">
        <f>COUNTIFS('Request Tracker'!$B$6:$B$200,A7,'Request Tracker'!$I$6:$I$200,"To Request")</f>
        <v>7</v>
      </c>
      <c r="F7" s="4" t="s">
        <v>308</v>
      </c>
    </row>
    <row r="8" spans="1:9" x14ac:dyDescent="0.3">
      <c r="A8" s="4" t="s">
        <v>132</v>
      </c>
      <c r="B8" s="4" t="s">
        <v>309</v>
      </c>
      <c r="C8" s="4">
        <f>COUNTIF('Request Tracker'!$B$6:$B$200,A8)</f>
        <v>7</v>
      </c>
      <c r="D8" s="4">
        <f>COUNTIFS('Request Tracker'!$B$6:$B$200,A8,'Request Tracker'!$I$6:$I$200,"&lt;&gt;To Request")</f>
        <v>0</v>
      </c>
      <c r="E8" s="4">
        <f>COUNTIFS('Request Tracker'!$B$6:$B$200,A8,'Request Tracker'!$I$6:$I$200,"To Request")</f>
        <v>7</v>
      </c>
      <c r="F8" s="4" t="s">
        <v>310</v>
      </c>
    </row>
    <row r="9" spans="1:9" ht="24" x14ac:dyDescent="0.3">
      <c r="A9" s="4" t="s">
        <v>168</v>
      </c>
      <c r="B9" s="4" t="s">
        <v>311</v>
      </c>
      <c r="C9" s="4">
        <f>COUNTIF('Request Tracker'!$B$6:$B$200,A9)</f>
        <v>7</v>
      </c>
      <c r="D9" s="4">
        <f>COUNTIFS('Request Tracker'!$B$6:$B$200,A9,'Request Tracker'!$I$6:$I$200,"&lt;&gt;To Request")</f>
        <v>7</v>
      </c>
      <c r="E9" s="4">
        <f>COUNTIFS('Request Tracker'!$B$6:$B$200,A9,'Request Tracker'!$I$6:$I$200,"To Request")</f>
        <v>0</v>
      </c>
      <c r="F9" s="4" t="s">
        <v>312</v>
      </c>
    </row>
    <row r="10" spans="1:9" ht="24" x14ac:dyDescent="0.3">
      <c r="A10" s="4" t="s">
        <v>203</v>
      </c>
      <c r="B10" s="4" t="s">
        <v>313</v>
      </c>
      <c r="C10" s="4">
        <f>COUNTIF('Request Tracker'!$B$6:$B$200,A10)</f>
        <v>7</v>
      </c>
      <c r="D10" s="4">
        <f>COUNTIFS('Request Tracker'!$B$6:$B$200,A10,'Request Tracker'!$I$6:$I$200,"&lt;&gt;To Request")</f>
        <v>7</v>
      </c>
      <c r="E10" s="4">
        <f>COUNTIFS('Request Tracker'!$B$6:$B$200,A10,'Request Tracker'!$I$6:$I$200,"To Request")</f>
        <v>0</v>
      </c>
      <c r="F10" s="4" t="s">
        <v>314</v>
      </c>
    </row>
    <row r="11" spans="1:9" ht="24" x14ac:dyDescent="0.3">
      <c r="A11" s="4" t="s">
        <v>239</v>
      </c>
      <c r="B11" s="4" t="s">
        <v>315</v>
      </c>
      <c r="C11" s="4">
        <f>COUNTIF('Request Tracker'!$B$6:$B$200,A11)</f>
        <v>7</v>
      </c>
      <c r="D11" s="4">
        <f>COUNTIFS('Request Tracker'!$B$6:$B$200,A11,'Request Tracker'!$I$6:$I$200,"&lt;&gt;To Request")</f>
        <v>7</v>
      </c>
      <c r="E11" s="4">
        <f>COUNTIFS('Request Tracker'!$B$6:$B$200,A11,'Request Tracker'!$I$6:$I$200,"To Request")</f>
        <v>0</v>
      </c>
      <c r="F11" s="4" t="s">
        <v>316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Request Tracker</vt:lpstr>
      <vt:lpstr>Existing Evidence</vt:lpstr>
      <vt:lpstr>Domain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Evidence Request</dc:title>
  <cp:keywords>SCAD</cp:keywords>
  <cp:lastModifiedBy>PVI-Kinan</cp:lastModifiedBy>
  <dcterms:modified xsi:type="dcterms:W3CDTF">2026-08-23T20:26:29Z</dcterms:modified>
  <cp:contentStatus>V0.1</cp:contentStatus>
</cp:coreProperties>
</file>