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Projects\SCAD 2\4- Gap Assessment\"/>
    </mc:Choice>
  </mc:AlternateContent>
  <xr:revisionPtr revIDLastSave="0" documentId="13_ncr:1_{ED71A4B5-E0B8-4953-9754-EC9471CFA9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ary" sheetId="2" r:id="rId1"/>
    <sheet name="Gap Assessment" sheetId="1" r:id="rId2"/>
    <sheet name="Evidence Register" sheetId="3" r:id="rId3"/>
    <sheet name="Guidance &amp; 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2" l="1"/>
  <c r="E15" i="2"/>
  <c r="D15" i="2"/>
  <c r="C15" i="2"/>
  <c r="B15" i="2"/>
  <c r="G14" i="2"/>
  <c r="E14" i="2"/>
  <c r="D14" i="2"/>
  <c r="C14" i="2"/>
  <c r="B14" i="2"/>
  <c r="G13" i="2"/>
  <c r="E13" i="2"/>
  <c r="D13" i="2"/>
  <c r="C13" i="2"/>
  <c r="B13" i="2"/>
  <c r="G12" i="2"/>
  <c r="E12" i="2"/>
  <c r="D12" i="2"/>
  <c r="C12" i="2"/>
  <c r="B12" i="2"/>
  <c r="G11" i="2"/>
  <c r="E11" i="2"/>
  <c r="D11" i="2"/>
  <c r="C11" i="2"/>
  <c r="B11" i="2"/>
  <c r="G10" i="2"/>
  <c r="E10" i="2"/>
  <c r="D10" i="2"/>
  <c r="C10" i="2"/>
  <c r="B10" i="2"/>
  <c r="G5" i="2"/>
  <c r="E5" i="2"/>
  <c r="C5" i="2"/>
  <c r="A5" i="2"/>
  <c r="F15" i="2" l="1"/>
  <c r="H15" i="2" s="1"/>
  <c r="F13" i="2"/>
  <c r="H13" i="2" s="1"/>
  <c r="F14" i="2"/>
  <c r="H14" i="2" s="1"/>
  <c r="F10" i="2"/>
  <c r="H10" i="2" s="1"/>
  <c r="F12" i="2"/>
  <c r="H12" i="2" s="1"/>
  <c r="F11" i="2"/>
  <c r="H11" i="2" s="1"/>
</calcChain>
</file>

<file path=xl/sharedStrings.xml><?xml version="1.0" encoding="utf-8"?>
<sst xmlns="http://schemas.openxmlformats.org/spreadsheetml/2006/main" count="370" uniqueCount="272">
  <si>
    <t>SCAD GIS – Simple Gap Assessment Matrix</t>
  </si>
  <si>
    <t>Assessment scope: six GIS operational domains. Use documents, current practice, stakeholder evidence, workflow demonstrations and records.</t>
  </si>
  <si>
    <t>Important: assessment prompts are adapted from recognized geospatial/service-management practices; they are not verbatim ISO certification clauses.</t>
  </si>
  <si>
    <t>ID</t>
  </si>
  <si>
    <t>Domain</t>
  </si>
  <si>
    <t>Requirement / Control</t>
  </si>
  <si>
    <t>Assessment Question</t>
  </si>
  <si>
    <t>Typical Evidence</t>
  </si>
  <si>
    <t>Evidence Ref(s)</t>
  </si>
  <si>
    <t>Current Practice / Observation</t>
  </si>
  <si>
    <t>Rating</t>
  </si>
  <si>
    <t>Gap / Issue</t>
  </si>
  <si>
    <t>Recommended Action</t>
  </si>
  <si>
    <t>Priority</t>
  </si>
  <si>
    <t>FE-01</t>
  </si>
  <si>
    <t>GIS Field Enumeration &amp; Data Collection</t>
  </si>
  <si>
    <t>Governance, scope and responsibilities</t>
  </si>
  <si>
    <t>Are the scope, process owner, GIS support role, field team responsibilities, approvals and hand-offs clearly defined for GIS-supported enumeration/data collection?</t>
  </si>
  <si>
    <t>Approved procedure/work instruction; RACI; role descriptions; organization chart; workshop evidence</t>
  </si>
  <si>
    <t>FE-02</t>
  </si>
  <si>
    <t>Pre-field spatial preparation</t>
  </si>
  <si>
    <t>Is there a controlled method to prepare sample locations, reference layers, field maps and geographic identifiers before fieldwork starts?</t>
  </si>
  <si>
    <t>Sample/location preparation records; map packages; authoritative reference layers; pre-field checklist</t>
  </si>
  <si>
    <t>FE-03</t>
  </si>
  <si>
    <t>Coordinate and reference standards</t>
  </si>
  <si>
    <t>Are coordinate capture rules, coordinate reference system, precision, geographic identifiers and acceptable location sources standardized and communicated to field teams?</t>
  </si>
  <si>
    <t>Field specification; CRS standard; device settings; geographic reference guide</t>
  </si>
  <si>
    <t>FE-04</t>
  </si>
  <si>
    <t>Field capture rules and mandatory attributes</t>
  </si>
  <si>
    <t>Are required spatial/non-spatial fields, validation rules, coding lists, geometry/location requirements and completeness checks defined for field capture?</t>
  </si>
  <si>
    <t>Digital form configuration; field schema; validation rules; mandatory-field list; data dictionary</t>
  </si>
  <si>
    <t>FE-05</t>
  </si>
  <si>
    <t>Field and post-field quality control</t>
  </si>
  <si>
    <t>Are field and post-field quality checks defined for coordinates, spatial classification, completeness, location consistency and other relevant quality dimensions?</t>
  </si>
  <si>
    <t>QC checklist; validation report; sample QA results; exception logs; acceptance criteria</t>
  </si>
  <si>
    <t>FE-06</t>
  </si>
  <si>
    <t>Exceptions, corrections and re-submission</t>
  </si>
  <si>
    <t>Is there a defined process to flag invalid locations or records, correct them, re-submit data and retain the correction history?</t>
  </si>
  <si>
    <t>Exception log; correction workflow; re-submission records; audit trail</t>
  </si>
  <si>
    <t>FE-07</t>
  </si>
  <si>
    <t>Handover, traceability and records</t>
  </si>
  <si>
    <t>Is the handover from field collection to GIS/data processing controlled, with identifiable batches, timestamps, versions, acceptance evidence and retained records?</t>
  </si>
  <si>
    <t>Handover checklist; batch log; acceptance record; version history; retained field outputs</t>
  </si>
  <si>
    <t>SD-01</t>
  </si>
  <si>
    <t>Spatial Data Schema Development &amp; Maintenance</t>
  </si>
  <si>
    <t>Business purpose and schema requirements</t>
  </si>
  <si>
    <t>Is each spatial schema designed from documented business/data requirements, intended use, data product scope and stakeholder needs?</t>
  </si>
  <si>
    <t>Requirements document; data product specification; stakeholder approvals</t>
  </si>
  <si>
    <t>SD-02</t>
  </si>
  <si>
    <t>Feature, geometry and relationship model</t>
  </si>
  <si>
    <t>Are feature types, geometry types, attributes, relationships and cardinalities explicitly defined and documented?</t>
  </si>
  <si>
    <t>Conceptual/logical model; ERD/UML; feature catalogue; schema documentation</t>
  </si>
  <si>
    <t>SD-03</t>
  </si>
  <si>
    <t>Attribute, naming and constraint standards</t>
  </si>
  <si>
    <t>Are naming conventions, data types, domains/code lists, mandatory fields, uniqueness rules and other constraints standardized?</t>
  </si>
  <si>
    <t>Schema standards; naming convention; domains/code lists; constraint definitions</t>
  </si>
  <si>
    <t>SD-04</t>
  </si>
  <si>
    <t>Spatial reference and geometry rules</t>
  </si>
  <si>
    <t>Are coordinate reference systems, precision, geometry validity and relevant topology rules defined for the schema?</t>
  </si>
  <si>
    <t>CRS specification; geometry rules; topology rules; database constraints</t>
  </si>
  <si>
    <t>E-001</t>
  </si>
  <si>
    <t>The benchmark presentation states WGS 1984, six-digit coordinate precision and spatial/topological checks; operational enforcement evidence is still required.</t>
  </si>
  <si>
    <t>SD-05</t>
  </si>
  <si>
    <t>Data dictionary, feature catalogue and metadata linkage</t>
  </si>
  <si>
    <t>Is the schema supported by a maintained data dictionary/feature catalogue and linked to metadata describing content, lineage, reference system and maintenance?</t>
  </si>
  <si>
    <t>Data dictionary; feature catalogue; metadata profile; metadata records</t>
  </si>
  <si>
    <t>SD-06</t>
  </si>
  <si>
    <t>Ownership, custodianship and version baseline</t>
  </si>
  <si>
    <t>Are schema owner/custodian roles, authoritative baseline, version identifiers, effective dates and release history defined?</t>
  </si>
  <si>
    <t>Ownership matrix; schema register; baseline/version log; approval records</t>
  </si>
  <si>
    <t>SD-07</t>
  </si>
  <si>
    <t>Validation, review and maintenance</t>
  </si>
  <si>
    <t>Is the schema validated before use and periodically reviewed for obsolete fields, new requirements, quality issues and alignment with dependent systems?</t>
  </si>
  <si>
    <t>Schema validation results; review minutes; maintenance schedule; issue/change log</t>
  </si>
  <si>
    <t>CM-01</t>
  </si>
  <si>
    <t>GIS Schema Change Management, Impact Assessment &amp; Periodic Review</t>
  </si>
  <si>
    <t>Formal change request and register</t>
  </si>
  <si>
    <t>Are schema changes initiated through a controlled request containing requester, reason, affected objects, business need and required date?</t>
  </si>
  <si>
    <t>Change request form; change register; ticket/request records</t>
  </si>
  <si>
    <t>CM-02</t>
  </si>
  <si>
    <t>Change classification and prioritization</t>
  </si>
  <si>
    <t>Are changes classified (e.g., minor/major/emergency) and prioritized using defined criteria?</t>
  </si>
  <si>
    <t>Change categories; priority criteria; change register; governance rules</t>
  </si>
  <si>
    <t>CM-03</t>
  </si>
  <si>
    <t>Impact assessment</t>
  </si>
  <si>
    <t>Does each material schema change assess impacts on data, ETL/pipelines, applications, services, metadata, reports, integrations, users and historical compatibility?</t>
  </si>
  <si>
    <t>Impact assessment template; dependency map; affected-object list; stakeholder comments</t>
  </si>
  <si>
    <t>CM-04</t>
  </si>
  <si>
    <t>Review and approval authority</t>
  </si>
  <si>
    <t>Are review, technical validation and approval roles defined, with authorization appropriate to the change impact?</t>
  </si>
  <si>
    <t>Approval matrix; RACI; approved change records; meeting minutes</t>
  </si>
  <si>
    <t>CM-05</t>
  </si>
  <si>
    <t>Testing and compatibility validation</t>
  </si>
  <si>
    <t>Are schema changes tested before production, including data validation, dependent workflows/services and backward compatibility where relevant?</t>
  </si>
  <si>
    <t>Test plan; test results; UAT; regression checks; sample validation</t>
  </si>
  <si>
    <t>CM-06</t>
  </si>
  <si>
    <t>Deployment, versioning and communication</t>
  </si>
  <si>
    <t>Are approved changes released through a controlled deployment with version number, effective date, release notes and communication to affected stakeholders?</t>
  </si>
  <si>
    <t>Release record; version history; deployment checklist; communications</t>
  </si>
  <si>
    <t>CM-07</t>
  </si>
  <si>
    <t>Rollback, post-implementation review and periodic review</t>
  </si>
  <si>
    <t>Are rollback/recovery arrangements defined, and are implemented changes and the overall schema periodically reviewed for effectiveness and unintended impacts?</t>
  </si>
  <si>
    <t>Rollback plan; backup evidence; post-implementation review; periodic review schedule/minutes</t>
  </si>
  <si>
    <t>GP-01</t>
  </si>
  <si>
    <t>Geo-Pipeline Operations</t>
  </si>
  <si>
    <t>Source onboarding and intake controls</t>
  </si>
  <si>
    <t>Are incoming administrative/spatial datasets registered and checked for source, expected structure, completeness, integrity, timeliness and authorization before processing?</t>
  </si>
  <si>
    <t>Source register; intake checklist; interface specification; batch receipt log</t>
  </si>
  <si>
    <t>GP-02</t>
  </si>
  <si>
    <t>Spatial/non-spatial identification and geo-enablement</t>
  </si>
  <si>
    <t>Is there a defined method to identify spatial versus non-spatial data and geo-enable eligible records using approved geocoding/location references?</t>
  </si>
  <si>
    <t>Workflow; geocoding rules; match-rate report; exception records</t>
  </si>
  <si>
    <t>GP-03</t>
  </si>
  <si>
    <t>Transformation and spatial standardization</t>
  </si>
  <si>
    <t>Are transformations and standardization rules controlled for geographic classification, coordinates, CRS, formats and other required spatial conventions?</t>
  </si>
  <si>
    <t>ETL rules; transformation mapping; standardization specification; job configuration</t>
  </si>
  <si>
    <t>GP-04</t>
  </si>
  <si>
    <t>Data quality gates</t>
  </si>
  <si>
    <t>Are measurable quality gates applied before ingestion/publishing for topology, completeness, positional/thematic/temporal quality, coverage and attribute consistency as applicable?</t>
  </si>
  <si>
    <t>Quality rules; thresholds; validation reports; rejected-record log; quality results</t>
  </si>
  <si>
    <t>GP-05</t>
  </si>
  <si>
    <t>Metadata and lineage</t>
  </si>
  <si>
    <t>Is metadata created/updated at defined pipeline checkpoints, including identification, extent, quality, lineage, spatial reference, distribution, maintenance and responsibility?</t>
  </si>
  <si>
    <t>Metadata template/profile; metadata records; lineage records; metadata validation</t>
  </si>
  <si>
    <t>GP-06</t>
  </si>
  <si>
    <t>Ingestion, storage and post-ingestion validation</t>
  </si>
  <si>
    <t>Are database ingestion/storage steps controlled and followed by reconciliation or post-ingestion validation to confirm completeness and consistency with the processed input?</t>
  </si>
  <si>
    <t>Load logs; reconciliation totals; database validation report; failed-load records</t>
  </si>
  <si>
    <t>GP-07</t>
  </si>
  <si>
    <t>Publishing and service release controls</t>
  </si>
  <si>
    <t>Are datasets/services published only after approval and validation, with controlled target environments, access settings, version/release information and traceability?</t>
  </si>
  <si>
    <t>Publishing checklist; approval record; service catalogue; release record; access configuration</t>
  </si>
  <si>
    <t>GP-08</t>
  </si>
  <si>
    <t>Monitoring, exceptions and reprocessing</t>
  </si>
  <si>
    <t>Are pipeline jobs and published outputs monitored, with defined alerts, exception handling, reprocessing, escalation and retained operational logs?</t>
  </si>
  <si>
    <t>Monitoring dashboard; job logs; alert records; exception/reprocessing log; escalation records</t>
  </si>
  <si>
    <t>EA-01</t>
  </si>
  <si>
    <t>Enumeration Area (EA) Management</t>
  </si>
  <si>
    <t>EA design criteria and governance</t>
  </si>
  <si>
    <t>Are documented criteria defined for EA purpose, coverage, size/workload, contiguity, non-overlap, boundary selection and governance responsibilities?</t>
  </si>
  <si>
    <t>EA design standard; methodology; governance roles; approved criteria</t>
  </si>
  <si>
    <t>EA-02</t>
  </si>
  <si>
    <t>Authoritative reference data and hierarchy</t>
  </si>
  <si>
    <t>Are authoritative administrative boundaries, buildings/addresses, roads and other reference layers identified for EA creation and maintenance?</t>
  </si>
  <si>
    <t>Reference data register; source agreements; authoritative layer list; update schedule</t>
  </si>
  <si>
    <t>EA-03</t>
  </si>
  <si>
    <t>Creation, identifiers and versioning</t>
  </si>
  <si>
    <t>Are EAs created using consistent rules with unique identifiers, hierarchy relationships, version/effective dates and reproducible delineation records?</t>
  </si>
  <si>
    <t>EA geodatabase; identifier rules; version log; creation records</t>
  </si>
  <si>
    <t>EA-04</t>
  </si>
  <si>
    <t>Spatial and statistical validation</t>
  </si>
  <si>
    <t>Are EAs validated for gaps/overlaps, topology, coverage, population/building/address linkage and other agreed thresholds before use?</t>
  </si>
  <si>
    <t>Topology report; coverage report; linkage statistics; validation checklist</t>
  </si>
  <si>
    <t>EA-05</t>
  </si>
  <si>
    <t>Linkage to surveys, census and registers</t>
  </si>
  <si>
    <t>Is there a controlled method to link the correct EA version to surveys, census operations, registers and sampling frames, with traceable identifiers?</t>
  </si>
  <si>
    <t>Survey/EA crosswalk; sampling frame; register linkage; version reference</t>
  </si>
  <si>
    <t>EA-06</t>
  </si>
  <si>
    <t>EA updates and change history</t>
  </si>
  <si>
    <t>Are EA updates triggered, assessed, approved and recorded with reasons, affected areas, effective dates and historical versions retained?</t>
  </si>
  <si>
    <t>EA change request; approval; change log; archived versions; change map</t>
  </si>
  <si>
    <t>EA-07</t>
  </si>
  <si>
    <t>Field verification and reconciliation</t>
  </si>
  <si>
    <t>Where field verification is required, are boundary/location discrepancies captured, reviewed and reconciled before updating the authoritative EA layer?</t>
  </si>
  <si>
    <t>Field verification records; discrepancy log; reconciliation decisions; updated EA evidence</t>
  </si>
  <si>
    <t>EA-08</t>
  </si>
  <si>
    <t>Publication, access and archival controls</t>
  </si>
  <si>
    <t>Are approved EA layers published/distributed under controlled access, with clear version, effective date, metadata and archival arrangements?</t>
  </si>
  <si>
    <t>Published EA layer; metadata; access list; archive/version repository</t>
  </si>
  <si>
    <t>IM-01</t>
  </si>
  <si>
    <t>GIS Incident Management</t>
  </si>
  <si>
    <t>Incident definition and scope</t>
  </si>
  <si>
    <t>Is a GIS incident clearly defined, including examples such as data/pipeline failures, publishing/service issues, schema-related disruption or other operational GIS failures?</t>
  </si>
  <si>
    <t>Incident guideline; scope statement; incident examples; service catalogue</t>
  </si>
  <si>
    <t>IM-02</t>
  </si>
  <si>
    <t>Incident logging and minimum information</t>
  </si>
  <si>
    <t>Are incidents recorded in a consistent log/ticket with detection time, reporter, affected service/data, symptoms, impact, actions and timestamps?</t>
  </si>
  <si>
    <t>Incident log/ticket; mandatory fields; audit trail</t>
  </si>
  <si>
    <t>IM-03</t>
  </si>
  <si>
    <t>Classification, severity and priority</t>
  </si>
  <si>
    <t>Are incident categories, severity levels and priority criteria defined using business/data/service impact and urgency?</t>
  </si>
  <si>
    <t>Severity matrix; category list; prioritization rules; sample incident records</t>
  </si>
  <si>
    <t>IM-04</t>
  </si>
  <si>
    <t>Triage, ownership and response targets</t>
  </si>
  <si>
    <t>Are incident ownership, initial triage, technical assignment and expected response/resolution targets defined for each severity?</t>
  </si>
  <si>
    <t>RACI; support model; response targets; assignment/escalation rules</t>
  </si>
  <si>
    <t>IM-05</t>
  </si>
  <si>
    <t>Escalation and stakeholder communication</t>
  </si>
  <si>
    <t>Are functional/management escalation paths and communication requirements defined for high-impact incidents and prolonged outages/issues?</t>
  </si>
  <si>
    <t>Escalation matrix; communication templates; notification records</t>
  </si>
  <si>
    <t>IM-06</t>
  </si>
  <si>
    <t>Resolution, workaround and recovery validation</t>
  </si>
  <si>
    <t>Are resolution/workaround actions controlled and is recovery validated with the affected process owner or user before closure?</t>
  </si>
  <si>
    <t>Resolution notes; workaround record; validation/acceptance evidence; recovery checklist</t>
  </si>
  <si>
    <t>IM-07</t>
  </si>
  <si>
    <t>Root cause and recurrence prevention</t>
  </si>
  <si>
    <t>Are significant or recurring incidents analyzed for root cause and linked to corrective actions, problem/change records or preventive improvements?</t>
  </si>
  <si>
    <t>RCA report; corrective action log; problem/change record; lessons learned</t>
  </si>
  <si>
    <t>IM-08</t>
  </si>
  <si>
    <t>Closure evidence, metrics and trend review</t>
  </si>
  <si>
    <t>Are closure criteria defined and are incident metrics/trends periodically reviewed to identify recurring issues, control weaknesses and improvement priorities?</t>
  </si>
  <si>
    <t>Closure checklist; incident KPI report; trend analysis; review minutes</t>
  </si>
  <si>
    <t>SCAD GIS Gap Assessment – Summary</t>
  </si>
  <si>
    <t>Live summary driven by the Rating column in the Gap Assessment sheet.</t>
  </si>
  <si>
    <t>Total Requirements</t>
  </si>
  <si>
    <t>Assessed</t>
  </si>
  <si>
    <t>Evidence Items</t>
  </si>
  <si>
    <t>Overall Maturity</t>
  </si>
  <si>
    <t>Established</t>
  </si>
  <si>
    <t>Partially Established</t>
  </si>
  <si>
    <t>Significant Gap</t>
  </si>
  <si>
    <t>Not Established</t>
  </si>
  <si>
    <t>Total</t>
  </si>
  <si>
    <t>Maturity %</t>
  </si>
  <si>
    <t>Evidence Register</t>
  </si>
  <si>
    <t>Register SCAD operational evidence once, assign an Evidence ID, then reference that ID in the Gap Assessment matrix.</t>
  </si>
  <si>
    <t>Evidence ID</t>
  </si>
  <si>
    <t>Evidence Name</t>
  </si>
  <si>
    <t>Type</t>
  </si>
  <si>
    <t>Date / Version</t>
  </si>
  <si>
    <t>Owner / Source</t>
  </si>
  <si>
    <t>Related Domain(s)</t>
  </si>
  <si>
    <t>Coverage / Relevance</t>
  </si>
  <si>
    <t>Received?</t>
  </si>
  <si>
    <t>Review Notes</t>
  </si>
  <si>
    <t>GIS Benchmark - GeoPipeline.pptx</t>
  </si>
  <si>
    <t>Presentation</t>
  </si>
  <si>
    <t>May 2025</t>
  </si>
  <si>
    <t>SCAD – Data Products &amp; Engineering</t>
  </si>
  <si>
    <t>Spatial Data Schema Development &amp; Maintenance; Geo-Pipeline Operations</t>
  </si>
  <si>
    <t>Spatial Data Journey; geocoding; geographic classification; WGS 1984 and coordinate precision; spatial quality checks; ISO 19115 metadata; ISO 19157 data quality; ESDM; ArcGIS Enterprise / Geostatistical Platform.</t>
  </si>
  <si>
    <t>Yes</t>
  </si>
  <si>
    <t>Initial concept-level evidence only. It describes practices/concepts but does not by itself confirm controlled SOPs, approvals, operating records, monitoring logs or consistent implementation.</t>
  </si>
  <si>
    <t>Assessment Guidance &amp; Best-Practice Sources</t>
  </si>
  <si>
    <t>Definition</t>
  </si>
  <si>
    <t>Score</t>
  </si>
  <si>
    <t>Requirement/process is clearly defined and consistently implemented.</t>
  </si>
  <si>
    <t>Practice exists but requires clarification or improvement.</t>
  </si>
  <si>
    <t>Major elements are missing or inconsistently implemented.</t>
  </si>
  <si>
    <t>No defined/documented practice or control exists.</t>
  </si>
  <si>
    <t>Project Rating Notes</t>
  </si>
  <si>
    <t>Activity exists but no controlled SOP</t>
  </si>
  <si>
    <t>Normally treat as Significant Gap, subject to impact and consistency.</t>
  </si>
  <si>
    <t>Document exists but is not governed/approved</t>
  </si>
  <si>
    <t>Treat as Partially Established or Significant Gap depending on impact.</t>
  </si>
  <si>
    <t>E-002</t>
  </si>
  <si>
    <t>ISO 19115 7&amp; ISO 19157 SOPs</t>
  </si>
  <si>
    <t>SOPs</t>
  </si>
  <si>
    <t>GIS Section</t>
  </si>
  <si>
    <t>No</t>
  </si>
  <si>
    <t>Low</t>
  </si>
  <si>
    <t>Need mor Deep Explaination</t>
  </si>
  <si>
    <t>Medium</t>
  </si>
  <si>
    <t>High</t>
  </si>
  <si>
    <t>Stackholers Meetings</t>
  </si>
  <si>
    <t>No Post-Field Information</t>
  </si>
  <si>
    <t>Pre- Field coverd</t>
  </si>
  <si>
    <t>No detailed information</t>
  </si>
  <si>
    <t>implemented after received field data.</t>
  </si>
  <si>
    <t>Not Covered the field survey proceduers.</t>
  </si>
  <si>
    <t>Noinformation yet</t>
  </si>
  <si>
    <t>Stackholder Meet</t>
  </si>
  <si>
    <t>Connections with other teams (IT, Methodology)</t>
  </si>
  <si>
    <t>Need specefic procedurs (Connections Plan)</t>
  </si>
  <si>
    <t>No Standardization</t>
  </si>
  <si>
    <t>Need more clear Explaination</t>
  </si>
  <si>
    <t>E-003</t>
  </si>
  <si>
    <t>Geo-Pipline Tracking Sheet</t>
  </si>
  <si>
    <t>Form</t>
  </si>
  <si>
    <t>Geo-Pipeline Operations; Spatial Data Schema; Field Enumeration &amp; Data Collection</t>
  </si>
  <si>
    <t>Geo-Pipline Journy</t>
  </si>
  <si>
    <t>E-001
E-003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</si>
</sst>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rlito"/>
    </font>
    <font>
      <b/>
      <sz val="16"/>
      <color rgb="FFFFFFFF"/>
      <name val="Carlito"/>
    </font>
    <font>
      <i/>
      <sz val="10"/>
      <color rgb="FF17365D"/>
      <name val="Carlito"/>
    </font>
    <font>
      <sz val="9"/>
      <color rgb="FF7F6000"/>
      <name val="Carlito"/>
    </font>
    <font>
      <b/>
      <sz val="11"/>
      <color rgb="FFFFFFFF"/>
      <name val="Carlito"/>
    </font>
    <font>
      <i/>
      <sz val="11"/>
      <color rgb="FF17365D"/>
      <name val="Carlito"/>
    </font>
    <font>
      <b/>
      <sz val="11"/>
      <color rgb="FF7F6000"/>
      <name val="Carlito"/>
    </font>
    <font>
      <b/>
      <sz val="18"/>
      <color rgb="FF17365D"/>
      <name val="Carlito"/>
    </font>
    <font>
      <sz val="8"/>
      <name val="Carlito"/>
    </font>
    <font>
      <b/>
      <sz val="11"/>
      <name val="Carlito"/>
      <family val="2"/>
    </font>
  </fonts>
  <fills count="1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7FBFF"/>
      </patternFill>
    </fill>
    <fill>
      <patternFill patternType="solid">
        <fgColor rgb="FFF9F7FF"/>
      </patternFill>
    </fill>
    <fill>
      <patternFill patternType="solid">
        <fgColor rgb="FFFFF9F2"/>
      </patternFill>
    </fill>
    <fill>
      <patternFill patternType="solid">
        <fgColor rgb="FFF3FBF7"/>
      </patternFill>
    </fill>
    <fill>
      <patternFill patternType="solid">
        <fgColor rgb="FFFFFDF2"/>
      </patternFill>
    </fill>
    <fill>
      <patternFill patternType="solid">
        <fgColor rgb="FFFFF5F5"/>
      </patternFill>
    </fill>
    <fill>
      <patternFill patternType="solid">
        <fgColor rgb="FFF3F6FA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4" fillId="5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13" borderId="0" xfId="0" applyFill="1" applyAlignment="1">
      <alignment vertical="top" wrapText="1"/>
    </xf>
    <xf numFmtId="0" fontId="0" fillId="14" borderId="0" xfId="0" applyFill="1" applyAlignment="1">
      <alignment vertical="top" wrapText="1"/>
    </xf>
    <xf numFmtId="0" fontId="0" fillId="15" borderId="0" xfId="0" applyFill="1" applyAlignment="1">
      <alignment vertical="top" wrapText="1"/>
    </xf>
    <xf numFmtId="0" fontId="0" fillId="16" borderId="0" xfId="0" applyFill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1" fillId="2" borderId="0" xfId="0" applyFont="1" applyFill="1"/>
    <xf numFmtId="0" fontId="5" fillId="3" borderId="0" xfId="0" applyFont="1" applyFill="1"/>
    <xf numFmtId="0" fontId="4" fillId="5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9" fontId="7" fillId="1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6" fillId="4" borderId="0" xfId="0" applyFont="1" applyFill="1" applyAlignment="1">
      <alignment vertical="top"/>
    </xf>
  </cellXfs>
  <cellStyles count="1">
    <cellStyle name="Normal" xfId="0" builtinId="0"/>
  </cellStyles>
  <dxfs count="11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8CBAD"/>
        </patternFill>
      </fill>
    </dxf>
    <dxf>
      <font>
        <b/>
        <color rgb="FF843C0C"/>
      </font>
      <fill>
        <patternFill patternType="solid">
          <bgColor rgb="FFF4B183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C00000"/>
      </font>
      <fill>
        <patternFill patternType="solid">
          <bgColor rgb="FFF8CBAD"/>
        </patternFill>
      </fill>
    </dxf>
    <dxf>
      <font>
        <b/>
        <color rgb="FF843C0C"/>
      </font>
      <fill>
        <patternFill patternType="solid">
          <bgColor rgb="FFF4B183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3756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pAssessmentTable" displayName="GapAssessmentTable" ref="A6:K51" totalsRowShown="0">
  <tableColumns count="11">
    <tableColumn id="1" xr3:uid="{00000000-0010-0000-0000-000001000000}" name="ID"/>
    <tableColumn id="2" xr3:uid="{00000000-0010-0000-0000-000002000000}" name="Domain"/>
    <tableColumn id="3" xr3:uid="{00000000-0010-0000-0000-000003000000}" name="Requirement / Control"/>
    <tableColumn id="4" xr3:uid="{00000000-0010-0000-0000-000004000000}" name="Assessment Question"/>
    <tableColumn id="5" xr3:uid="{00000000-0010-0000-0000-000005000000}" name="Typical Evidence"/>
    <tableColumn id="7" xr3:uid="{00000000-0010-0000-0000-000007000000}" name="Evidence Ref(s)"/>
    <tableColumn id="8" xr3:uid="{00000000-0010-0000-0000-000008000000}" name="Current Practice / Observation"/>
    <tableColumn id="9" xr3:uid="{00000000-0010-0000-0000-000009000000}" name="Rating"/>
    <tableColumn id="10" xr3:uid="{00000000-0010-0000-0000-00000A000000}" name="Gap / Issue"/>
    <tableColumn id="11" xr3:uid="{00000000-0010-0000-0000-00000B000000}" name="Recommended Action"/>
    <tableColumn id="12" xr3:uid="{00000000-0010-0000-0000-00000C000000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idenceRegisterTable" displayName="EvidenceRegisterTable" ref="A5:I100" totalsRowShown="0">
  <tableColumns count="9">
    <tableColumn id="1" xr3:uid="{00000000-0010-0000-0100-000001000000}" name="Evidence ID"/>
    <tableColumn id="2" xr3:uid="{00000000-0010-0000-0100-000002000000}" name="Evidence Name"/>
    <tableColumn id="3" xr3:uid="{00000000-0010-0000-0100-000003000000}" name="Type"/>
    <tableColumn id="4" xr3:uid="{00000000-0010-0000-0100-000004000000}" name="Date / Version"/>
    <tableColumn id="5" xr3:uid="{00000000-0010-0000-0100-000005000000}" name="Owner / Source"/>
    <tableColumn id="6" xr3:uid="{00000000-0010-0000-0100-000006000000}" name="Related Domain(s)"/>
    <tableColumn id="7" xr3:uid="{00000000-0010-0000-0100-000007000000}" name="Coverage / Relevance"/>
    <tableColumn id="8" xr3:uid="{00000000-0010-0000-0100-000008000000}" name="Received?"/>
    <tableColumn id="9" xr3:uid="{00000000-0010-0000-0100-000009000000}" name="Review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workbookViewId="0">
      <selection activeCell="C15" sqref="C15"/>
    </sheetView>
  </sheetViews>
  <sheetFormatPr defaultRowHeight="14.4" x14ac:dyDescent="0.3"/>
  <cols>
    <col min="1" max="1" width="52" customWidth="1"/>
    <col min="2" max="2" width="15" customWidth="1"/>
    <col min="3" max="3" width="20" customWidth="1"/>
    <col min="4" max="5" width="17" customWidth="1"/>
    <col min="6" max="6" width="12" customWidth="1"/>
    <col min="7" max="7" width="10" customWidth="1"/>
    <col min="8" max="8" width="14" customWidth="1"/>
  </cols>
  <sheetData>
    <row r="1" spans="1:8" ht="24" customHeight="1" x14ac:dyDescent="0.4">
      <c r="A1" s="18" t="s">
        <v>202</v>
      </c>
      <c r="B1" s="18"/>
      <c r="C1" s="18"/>
      <c r="D1" s="18"/>
      <c r="E1" s="18"/>
      <c r="F1" s="18"/>
      <c r="G1" s="18"/>
      <c r="H1" s="18"/>
    </row>
    <row r="2" spans="1:8" ht="19.2" customHeight="1" x14ac:dyDescent="0.3">
      <c r="A2" s="19" t="s">
        <v>203</v>
      </c>
      <c r="B2" s="19"/>
      <c r="C2" s="19"/>
      <c r="D2" s="19"/>
      <c r="E2" s="19"/>
      <c r="F2" s="19"/>
      <c r="G2" s="19"/>
      <c r="H2" s="19"/>
    </row>
    <row r="4" spans="1:8" x14ac:dyDescent="0.3">
      <c r="A4" s="20" t="s">
        <v>204</v>
      </c>
      <c r="B4" s="20"/>
      <c r="C4" s="20" t="s">
        <v>205</v>
      </c>
      <c r="D4" s="20"/>
      <c r="E4" s="20" t="s">
        <v>206</v>
      </c>
      <c r="F4" s="20"/>
      <c r="G4" s="20" t="s">
        <v>207</v>
      </c>
      <c r="H4" s="20"/>
    </row>
    <row r="5" spans="1:8" x14ac:dyDescent="0.3">
      <c r="A5" s="21">
        <f>COUNTA('Gap Assessment'!A7:A51)</f>
        <v>45</v>
      </c>
      <c r="B5" s="21"/>
      <c r="C5" s="21">
        <f>COUNTA('Gap Assessment'!H7:H51)</f>
        <v>16</v>
      </c>
      <c r="D5" s="21"/>
      <c r="E5" s="21">
        <f>COUNTA('Evidence Register'!A6:A100)</f>
        <v>3</v>
      </c>
      <c r="F5" s="21"/>
      <c r="G5" s="22">
        <f>IF(COUNTA('Gap Assessment'!H7:H51)=0,"",(3*COUNTIF('Gap Assessment'!H7:H51,"Established")+2*COUNTIF('Gap Assessment'!H7:H51,"Partially Established")+COUNTIF('Gap Assessment'!H7:H51,"Significant Gap"))/(3*COUNTA('Gap Assessment'!H7:H51)))</f>
        <v>0.77083333333333337</v>
      </c>
      <c r="H5" s="21"/>
    </row>
    <row r="6" spans="1:8" x14ac:dyDescent="0.3">
      <c r="A6" s="21"/>
      <c r="B6" s="21"/>
      <c r="C6" s="21"/>
      <c r="D6" s="21"/>
      <c r="E6" s="21"/>
      <c r="F6" s="21"/>
      <c r="G6" s="21"/>
      <c r="H6" s="21"/>
    </row>
    <row r="9" spans="1:8" ht="25.65" customHeight="1" x14ac:dyDescent="0.3">
      <c r="A9" s="1" t="s">
        <v>4</v>
      </c>
      <c r="B9" s="1" t="s">
        <v>208</v>
      </c>
      <c r="C9" s="1" t="s">
        <v>209</v>
      </c>
      <c r="D9" s="1" t="s">
        <v>210</v>
      </c>
      <c r="E9" s="1" t="s">
        <v>211</v>
      </c>
      <c r="F9" s="1" t="s">
        <v>205</v>
      </c>
      <c r="G9" s="1" t="s">
        <v>212</v>
      </c>
      <c r="H9" s="1" t="s">
        <v>213</v>
      </c>
    </row>
    <row r="10" spans="1:8" ht="28.05" customHeight="1" x14ac:dyDescent="0.3">
      <c r="A10" s="11" t="s">
        <v>15</v>
      </c>
      <c r="B10" s="11">
        <f>COUNTIFS('Gap Assessment'!$B$7:$B$51,$A10,'Gap Assessment'!$H$7:$H$51,B$9)</f>
        <v>3</v>
      </c>
      <c r="C10" s="11">
        <f>COUNTIFS('Gap Assessment'!$B$7:$B$51,$A10,'Gap Assessment'!$H$7:$H$51,C$9)</f>
        <v>2</v>
      </c>
      <c r="D10" s="11">
        <f>COUNTIFS('Gap Assessment'!$B$7:$B$51,$A10,'Gap Assessment'!$H$7:$H$51,D$9)</f>
        <v>2</v>
      </c>
      <c r="E10" s="11">
        <f>COUNTIFS('Gap Assessment'!$B$7:$B$51,$A10,'Gap Assessment'!$H$7:$H$51,E$9)</f>
        <v>0</v>
      </c>
      <c r="F10" s="11">
        <f t="shared" ref="F10:F15" si="0">SUM(B10:E10)</f>
        <v>7</v>
      </c>
      <c r="G10" s="11">
        <f>COUNTIF('Gap Assessment'!$B$7:$B$51,$A10)</f>
        <v>7</v>
      </c>
      <c r="H10" s="12">
        <f t="shared" ref="H10:H15" si="1">IF(F10=0,"",(3*B10+2*C10+D10)/(3*F10))</f>
        <v>0.7142857142857143</v>
      </c>
    </row>
    <row r="11" spans="1:8" ht="28.05" customHeight="1" x14ac:dyDescent="0.3">
      <c r="A11" s="11" t="s">
        <v>44</v>
      </c>
      <c r="B11" s="11">
        <f>COUNTIFS('Gap Assessment'!$B$7:$B$51,$A11,'Gap Assessment'!$H$7:$H$51,B$9)</f>
        <v>0</v>
      </c>
      <c r="C11" s="11">
        <f>COUNTIFS('Gap Assessment'!$B$7:$B$51,$A11,'Gap Assessment'!$H$7:$H$51,C$9)</f>
        <v>0</v>
      </c>
      <c r="D11" s="11">
        <f>COUNTIFS('Gap Assessment'!$B$7:$B$51,$A11,'Gap Assessment'!$H$7:$H$51,D$9)</f>
        <v>0</v>
      </c>
      <c r="E11" s="11">
        <f>COUNTIFS('Gap Assessment'!$B$7:$B$51,$A11,'Gap Assessment'!$H$7:$H$51,E$9)</f>
        <v>1</v>
      </c>
      <c r="F11" s="11">
        <f t="shared" si="0"/>
        <v>1</v>
      </c>
      <c r="G11" s="11">
        <f>COUNTIF('Gap Assessment'!$B$7:$B$51,$A11)</f>
        <v>7</v>
      </c>
      <c r="H11" s="12">
        <f t="shared" si="1"/>
        <v>0</v>
      </c>
    </row>
    <row r="12" spans="1:8" ht="28.05" customHeight="1" x14ac:dyDescent="0.3">
      <c r="A12" s="11" t="s">
        <v>75</v>
      </c>
      <c r="B12" s="11">
        <f>COUNTIFS('Gap Assessment'!$B$7:$B$51,$A12,'Gap Assessment'!$H$7:$H$51,B$9)</f>
        <v>0</v>
      </c>
      <c r="C12" s="11">
        <f>COUNTIFS('Gap Assessment'!$B$7:$B$51,$A12,'Gap Assessment'!$H$7:$H$51,C$9)</f>
        <v>0</v>
      </c>
      <c r="D12" s="11">
        <f>COUNTIFS('Gap Assessment'!$B$7:$B$51,$A12,'Gap Assessment'!$H$7:$H$51,D$9)</f>
        <v>0</v>
      </c>
      <c r="E12" s="11">
        <f>COUNTIFS('Gap Assessment'!$B$7:$B$51,$A12,'Gap Assessment'!$H$7:$H$51,E$9)</f>
        <v>0</v>
      </c>
      <c r="F12" s="11">
        <f t="shared" si="0"/>
        <v>0</v>
      </c>
      <c r="G12" s="11">
        <f>COUNTIF('Gap Assessment'!$B$7:$B$51,$A12)</f>
        <v>7</v>
      </c>
      <c r="H12" s="12" t="str">
        <f t="shared" si="1"/>
        <v/>
      </c>
    </row>
    <row r="13" spans="1:8" ht="28.05" customHeight="1" x14ac:dyDescent="0.3">
      <c r="A13" s="11" t="s">
        <v>104</v>
      </c>
      <c r="B13" s="11">
        <f>COUNTIFS('Gap Assessment'!$B$7:$B$51,$A13,'Gap Assessment'!$H$7:$H$51,B$9)</f>
        <v>6</v>
      </c>
      <c r="C13" s="11">
        <f>COUNTIFS('Gap Assessment'!$B$7:$B$51,$A13,'Gap Assessment'!$H$7:$H$51,C$9)</f>
        <v>2</v>
      </c>
      <c r="D13" s="11">
        <f>COUNTIFS('Gap Assessment'!$B$7:$B$51,$A13,'Gap Assessment'!$H$7:$H$51,D$9)</f>
        <v>0</v>
      </c>
      <c r="E13" s="11">
        <f>COUNTIFS('Gap Assessment'!$B$7:$B$51,$A13,'Gap Assessment'!$H$7:$H$51,E$9)</f>
        <v>0</v>
      </c>
      <c r="F13" s="11">
        <f t="shared" si="0"/>
        <v>8</v>
      </c>
      <c r="G13" s="11">
        <f>COUNTIF('Gap Assessment'!$B$7:$B$51,$A13)</f>
        <v>8</v>
      </c>
      <c r="H13" s="12">
        <f t="shared" si="1"/>
        <v>0.91666666666666663</v>
      </c>
    </row>
    <row r="14" spans="1:8" ht="28.05" customHeight="1" x14ac:dyDescent="0.3">
      <c r="A14" s="11" t="s">
        <v>137</v>
      </c>
      <c r="B14" s="11">
        <f>COUNTIFS('Gap Assessment'!$B$7:$B$51,$A14,'Gap Assessment'!$H$7:$H$51,B$9)</f>
        <v>0</v>
      </c>
      <c r="C14" s="11">
        <f>COUNTIFS('Gap Assessment'!$B$7:$B$51,$A14,'Gap Assessment'!$H$7:$H$51,C$9)</f>
        <v>0</v>
      </c>
      <c r="D14" s="11">
        <f>COUNTIFS('Gap Assessment'!$B$7:$B$51,$A14,'Gap Assessment'!$H$7:$H$51,D$9)</f>
        <v>0</v>
      </c>
      <c r="E14" s="11">
        <f>COUNTIFS('Gap Assessment'!$B$7:$B$51,$A14,'Gap Assessment'!$H$7:$H$51,E$9)</f>
        <v>0</v>
      </c>
      <c r="F14" s="11">
        <f t="shared" si="0"/>
        <v>0</v>
      </c>
      <c r="G14" s="11">
        <f>COUNTIF('Gap Assessment'!$B$7:$B$51,$A14)</f>
        <v>8</v>
      </c>
      <c r="H14" s="12" t="str">
        <f t="shared" si="1"/>
        <v/>
      </c>
    </row>
    <row r="15" spans="1:8" ht="28.05" customHeight="1" x14ac:dyDescent="0.3">
      <c r="A15" s="11" t="s">
        <v>170</v>
      </c>
      <c r="B15" s="11">
        <f>COUNTIFS('Gap Assessment'!$B$7:$B$51,$A15,'Gap Assessment'!$H$7:$H$51,B$9)</f>
        <v>0</v>
      </c>
      <c r="C15" s="11">
        <f>COUNTIFS('Gap Assessment'!$B$7:$B$51,$A15,'Gap Assessment'!$H$7:$H$51,C$9)</f>
        <v>0</v>
      </c>
      <c r="D15" s="11">
        <f>COUNTIFS('Gap Assessment'!$B$7:$B$51,$A15,'Gap Assessment'!$H$7:$H$51,D$9)</f>
        <v>0</v>
      </c>
      <c r="E15" s="11">
        <f>COUNTIFS('Gap Assessment'!$B$7:$B$51,$A15,'Gap Assessment'!$H$7:$H$51,E$9)</f>
        <v>0</v>
      </c>
      <c r="F15" s="11">
        <f t="shared" si="0"/>
        <v>0</v>
      </c>
      <c r="G15" s="11">
        <f>COUNTIF('Gap Assessment'!$B$7:$B$51,$A15)</f>
        <v>8</v>
      </c>
      <c r="H15" s="12" t="str">
        <f t="shared" si="1"/>
        <v/>
      </c>
    </row>
  </sheetData>
  <mergeCells count="10">
    <mergeCell ref="A1:H1"/>
    <mergeCell ref="A2:H2"/>
    <mergeCell ref="A4:B4"/>
    <mergeCell ref="A5:B6"/>
    <mergeCell ref="C4:D4"/>
    <mergeCell ref="C5:D6"/>
    <mergeCell ref="E4:F4"/>
    <mergeCell ref="E5:F6"/>
    <mergeCell ref="G4:H4"/>
    <mergeCell ref="G5:H6"/>
  </mergeCells>
  <conditionalFormatting sqref="H10:H15">
    <cfRule type="expression" dxfId="10" priority="1">
      <formula>AND(H10&lt;&gt;"",H10&gt;=0.75)</formula>
    </cfRule>
    <cfRule type="expression" dxfId="9" priority="2">
      <formula>AND(H10&lt;&gt;"",H10&gt;=0.5,H10&lt;0.75)</formula>
    </cfRule>
    <cfRule type="expression" dxfId="8" priority="3">
      <formula>AND(H10&lt;&gt;"",H10&gt;=0.25,H10&lt;0.5)</formula>
    </cfRule>
    <cfRule type="expression" dxfId="7" priority="4">
      <formula>AND(H10&lt;&gt;"",H10&lt;0.25)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opLeftCell="A23" zoomScale="70" zoomScaleNormal="70" workbookViewId="0">
      <selection activeCell="F33" sqref="F33"/>
    </sheetView>
  </sheetViews>
  <sheetFormatPr defaultRowHeight="14.4" x14ac:dyDescent="0.3"/>
  <cols>
    <col min="1" max="1" width="9" customWidth="1"/>
    <col min="2" max="2" width="31" customWidth="1"/>
    <col min="3" max="3" width="28" customWidth="1"/>
    <col min="4" max="4" width="55.21875" customWidth="1"/>
    <col min="5" max="5" width="52.33203125" customWidth="1"/>
    <col min="6" max="6" width="29.5546875" customWidth="1"/>
    <col min="7" max="7" width="42" customWidth="1"/>
    <col min="8" max="8" width="22" customWidth="1"/>
    <col min="9" max="10" width="34" customWidth="1"/>
    <col min="11" max="11" width="14" customWidth="1"/>
  </cols>
  <sheetData>
    <row r="1" spans="1:11" ht="24" customHeight="1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25.65" customHeight="1" x14ac:dyDescent="0.3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22.35" customHeight="1" x14ac:dyDescent="0.3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6" spans="1:11" ht="27.15" customHeight="1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</row>
    <row r="7" spans="1:11" ht="43.2" customHeight="1" x14ac:dyDescent="0.3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254</v>
      </c>
      <c r="G7" s="3"/>
      <c r="H7" s="3" t="s">
        <v>208</v>
      </c>
      <c r="I7" s="3"/>
      <c r="J7" s="3"/>
      <c r="K7" s="3" t="s">
        <v>252</v>
      </c>
    </row>
    <row r="8" spans="1:11" ht="43.2" customHeight="1" x14ac:dyDescent="0.3">
      <c r="A8" s="3" t="s">
        <v>19</v>
      </c>
      <c r="B8" s="3" t="s">
        <v>15</v>
      </c>
      <c r="C8" s="3" t="s">
        <v>20</v>
      </c>
      <c r="D8" s="3" t="s">
        <v>21</v>
      </c>
      <c r="E8" s="3" t="s">
        <v>22</v>
      </c>
      <c r="F8" s="3" t="s">
        <v>254</v>
      </c>
      <c r="G8" s="3" t="s">
        <v>256</v>
      </c>
      <c r="H8" s="3" t="s">
        <v>208</v>
      </c>
      <c r="I8" s="3"/>
      <c r="J8" s="3"/>
      <c r="K8" s="3" t="s">
        <v>253</v>
      </c>
    </row>
    <row r="9" spans="1:11" ht="43.2" customHeight="1" x14ac:dyDescent="0.3">
      <c r="A9" s="3" t="s">
        <v>23</v>
      </c>
      <c r="B9" s="3" t="s">
        <v>15</v>
      </c>
      <c r="C9" s="3" t="s">
        <v>24</v>
      </c>
      <c r="D9" s="3" t="s">
        <v>25</v>
      </c>
      <c r="E9" s="3" t="s">
        <v>26</v>
      </c>
      <c r="F9" s="3" t="s">
        <v>254</v>
      </c>
      <c r="G9" s="3" t="s">
        <v>257</v>
      </c>
      <c r="H9" s="3" t="s">
        <v>210</v>
      </c>
      <c r="I9" s="3"/>
      <c r="J9" s="3"/>
      <c r="K9" s="3" t="s">
        <v>250</v>
      </c>
    </row>
    <row r="10" spans="1:11" ht="43.2" customHeight="1" x14ac:dyDescent="0.3">
      <c r="A10" s="3" t="s">
        <v>27</v>
      </c>
      <c r="B10" s="3" t="s">
        <v>15</v>
      </c>
      <c r="C10" s="3" t="s">
        <v>28</v>
      </c>
      <c r="D10" s="3" t="s">
        <v>29</v>
      </c>
      <c r="E10" s="3" t="s">
        <v>30</v>
      </c>
      <c r="F10" s="3" t="s">
        <v>254</v>
      </c>
      <c r="G10" s="3" t="s">
        <v>258</v>
      </c>
      <c r="H10" s="3" t="s">
        <v>210</v>
      </c>
      <c r="I10" s="3" t="s">
        <v>259</v>
      </c>
      <c r="J10" s="3"/>
      <c r="K10" s="3" t="s">
        <v>250</v>
      </c>
    </row>
    <row r="11" spans="1:11" ht="43.2" customHeight="1" x14ac:dyDescent="0.3">
      <c r="A11" s="3" t="s">
        <v>31</v>
      </c>
      <c r="B11" s="3" t="s">
        <v>15</v>
      </c>
      <c r="C11" s="3" t="s">
        <v>32</v>
      </c>
      <c r="D11" s="3" t="s">
        <v>33</v>
      </c>
      <c r="E11" s="3" t="s">
        <v>34</v>
      </c>
      <c r="F11" s="3" t="s">
        <v>254</v>
      </c>
      <c r="G11" s="3" t="s">
        <v>260</v>
      </c>
      <c r="H11" s="3" t="s">
        <v>209</v>
      </c>
      <c r="I11" s="3" t="s">
        <v>255</v>
      </c>
      <c r="J11" s="3" t="s">
        <v>261</v>
      </c>
      <c r="K11" s="3" t="s">
        <v>253</v>
      </c>
    </row>
    <row r="12" spans="1:11" ht="43.2" customHeight="1" x14ac:dyDescent="0.3">
      <c r="A12" s="3" t="s">
        <v>35</v>
      </c>
      <c r="B12" s="3" t="s">
        <v>15</v>
      </c>
      <c r="C12" s="3" t="s">
        <v>36</v>
      </c>
      <c r="D12" s="3" t="s">
        <v>37</v>
      </c>
      <c r="E12" s="3" t="s">
        <v>38</v>
      </c>
      <c r="F12" s="3" t="s">
        <v>254</v>
      </c>
      <c r="G12" s="3" t="s">
        <v>262</v>
      </c>
      <c r="H12" s="3" t="s">
        <v>209</v>
      </c>
      <c r="I12" s="3" t="s">
        <v>263</v>
      </c>
      <c r="J12" s="3" t="s">
        <v>261</v>
      </c>
      <c r="K12" s="3" t="s">
        <v>252</v>
      </c>
    </row>
    <row r="13" spans="1:11" ht="43.2" customHeight="1" x14ac:dyDescent="0.3">
      <c r="A13" s="3" t="s">
        <v>39</v>
      </c>
      <c r="B13" s="3" t="s">
        <v>15</v>
      </c>
      <c r="C13" s="3" t="s">
        <v>40</v>
      </c>
      <c r="D13" s="3" t="s">
        <v>41</v>
      </c>
      <c r="E13" s="3" t="s">
        <v>42</v>
      </c>
      <c r="F13" s="3" t="s">
        <v>254</v>
      </c>
      <c r="G13" s="3"/>
      <c r="H13" s="3" t="s">
        <v>208</v>
      </c>
      <c r="I13" s="3"/>
      <c r="J13" s="3"/>
      <c r="K13" s="3" t="s">
        <v>253</v>
      </c>
    </row>
    <row r="14" spans="1:11" ht="43.2" customHeight="1" x14ac:dyDescent="0.3">
      <c r="A14" s="4" t="s">
        <v>43</v>
      </c>
      <c r="B14" s="4" t="s">
        <v>44</v>
      </c>
      <c r="C14" s="4" t="s">
        <v>45</v>
      </c>
      <c r="D14" s="4" t="s">
        <v>46</v>
      </c>
      <c r="E14" s="4" t="s">
        <v>47</v>
      </c>
      <c r="F14" s="4"/>
      <c r="G14" s="4"/>
      <c r="H14" s="4"/>
      <c r="I14" s="4"/>
      <c r="J14" s="4"/>
      <c r="K14" s="4"/>
    </row>
    <row r="15" spans="1:11" ht="43.2" customHeight="1" x14ac:dyDescent="0.3">
      <c r="A15" s="4" t="s">
        <v>48</v>
      </c>
      <c r="B15" s="4" t="s">
        <v>44</v>
      </c>
      <c r="C15" s="4" t="s">
        <v>49</v>
      </c>
      <c r="D15" s="4" t="s">
        <v>50</v>
      </c>
      <c r="E15" s="4" t="s">
        <v>51</v>
      </c>
      <c r="F15" s="4"/>
      <c r="G15" s="4"/>
      <c r="H15" s="4"/>
      <c r="I15" s="4"/>
      <c r="J15" s="4"/>
      <c r="K15" s="4"/>
    </row>
    <row r="16" spans="1:11" ht="43.2" customHeight="1" x14ac:dyDescent="0.3">
      <c r="A16" s="4" t="s">
        <v>52</v>
      </c>
      <c r="B16" s="4" t="s">
        <v>44</v>
      </c>
      <c r="C16" s="4" t="s">
        <v>53</v>
      </c>
      <c r="D16" s="4" t="s">
        <v>54</v>
      </c>
      <c r="E16" s="4" t="s">
        <v>55</v>
      </c>
      <c r="F16" s="4"/>
      <c r="G16" s="4"/>
      <c r="H16" s="4"/>
      <c r="I16" s="4"/>
      <c r="J16" s="4"/>
      <c r="K16" s="4"/>
    </row>
    <row r="17" spans="1:11" ht="43.2" customHeight="1" x14ac:dyDescent="0.3">
      <c r="A17" s="4" t="s">
        <v>56</v>
      </c>
      <c r="B17" s="4" t="s">
        <v>44</v>
      </c>
      <c r="C17" s="4" t="s">
        <v>57</v>
      </c>
      <c r="D17" s="4" t="s">
        <v>58</v>
      </c>
      <c r="E17" s="4" t="s">
        <v>59</v>
      </c>
      <c r="F17" s="4" t="s">
        <v>60</v>
      </c>
      <c r="G17" s="4" t="s">
        <v>61</v>
      </c>
      <c r="H17" s="4" t="s">
        <v>211</v>
      </c>
      <c r="I17" s="4"/>
      <c r="J17" s="4"/>
      <c r="K17" s="4" t="s">
        <v>250</v>
      </c>
    </row>
    <row r="18" spans="1:11" ht="43.2" customHeight="1" x14ac:dyDescent="0.3">
      <c r="A18" s="4" t="s">
        <v>62</v>
      </c>
      <c r="B18" s="4" t="s">
        <v>44</v>
      </c>
      <c r="C18" s="4" t="s">
        <v>63</v>
      </c>
      <c r="D18" s="4" t="s">
        <v>64</v>
      </c>
      <c r="E18" s="4" t="s">
        <v>65</v>
      </c>
      <c r="F18" s="4"/>
      <c r="G18" s="4"/>
      <c r="H18" s="4"/>
      <c r="I18" s="4"/>
      <c r="J18" s="4"/>
      <c r="K18" s="4"/>
    </row>
    <row r="19" spans="1:11" ht="43.2" customHeight="1" x14ac:dyDescent="0.3">
      <c r="A19" s="4" t="s">
        <v>66</v>
      </c>
      <c r="B19" s="4" t="s">
        <v>44</v>
      </c>
      <c r="C19" s="4" t="s">
        <v>67</v>
      </c>
      <c r="D19" s="4" t="s">
        <v>68</v>
      </c>
      <c r="E19" s="4" t="s">
        <v>69</v>
      </c>
      <c r="F19" s="4"/>
      <c r="G19" s="4"/>
      <c r="H19" s="4"/>
      <c r="I19" s="4"/>
      <c r="J19" s="4"/>
      <c r="K19" s="4"/>
    </row>
    <row r="20" spans="1:11" ht="43.2" customHeight="1" x14ac:dyDescent="0.3">
      <c r="A20" s="4" t="s">
        <v>70</v>
      </c>
      <c r="B20" s="4" t="s">
        <v>44</v>
      </c>
      <c r="C20" s="4" t="s">
        <v>71</v>
      </c>
      <c r="D20" s="4" t="s">
        <v>72</v>
      </c>
      <c r="E20" s="4" t="s">
        <v>73</v>
      </c>
      <c r="F20" s="4"/>
      <c r="G20" s="4"/>
      <c r="H20" s="4"/>
      <c r="I20" s="4"/>
      <c r="J20" s="4"/>
      <c r="K20" s="4"/>
    </row>
    <row r="21" spans="1:11" ht="43.2" customHeight="1" x14ac:dyDescent="0.3">
      <c r="A21" s="5" t="s">
        <v>74</v>
      </c>
      <c r="B21" s="5" t="s">
        <v>75</v>
      </c>
      <c r="C21" s="5" t="s">
        <v>76</v>
      </c>
      <c r="D21" s="5" t="s">
        <v>77</v>
      </c>
      <c r="E21" s="5" t="s">
        <v>78</v>
      </c>
      <c r="F21" s="5"/>
      <c r="G21" s="5"/>
      <c r="H21" s="5"/>
      <c r="I21" s="5"/>
      <c r="J21" s="5"/>
      <c r="K21" s="5"/>
    </row>
    <row r="22" spans="1:11" ht="43.2" customHeight="1" x14ac:dyDescent="0.3">
      <c r="A22" s="5" t="s">
        <v>79</v>
      </c>
      <c r="B22" s="5" t="s">
        <v>75</v>
      </c>
      <c r="C22" s="5" t="s">
        <v>80</v>
      </c>
      <c r="D22" s="5" t="s">
        <v>81</v>
      </c>
      <c r="E22" s="5" t="s">
        <v>82</v>
      </c>
      <c r="F22" s="5"/>
      <c r="G22" s="5"/>
      <c r="H22" s="5"/>
      <c r="I22" s="5"/>
      <c r="J22" s="5"/>
      <c r="K22" s="5"/>
    </row>
    <row r="23" spans="1:11" ht="43.2" customHeight="1" x14ac:dyDescent="0.3">
      <c r="A23" s="5" t="s">
        <v>83</v>
      </c>
      <c r="B23" s="5" t="s">
        <v>75</v>
      </c>
      <c r="C23" s="5" t="s">
        <v>84</v>
      </c>
      <c r="D23" s="5" t="s">
        <v>85</v>
      </c>
      <c r="E23" s="5" t="s">
        <v>86</v>
      </c>
      <c r="F23" s="5"/>
      <c r="G23" s="5"/>
      <c r="H23" s="5"/>
      <c r="I23" s="5"/>
      <c r="J23" s="5"/>
      <c r="K23" s="5"/>
    </row>
    <row r="24" spans="1:11" ht="43.2" customHeight="1" x14ac:dyDescent="0.3">
      <c r="A24" s="5" t="s">
        <v>87</v>
      </c>
      <c r="B24" s="5" t="s">
        <v>75</v>
      </c>
      <c r="C24" s="5" t="s">
        <v>88</v>
      </c>
      <c r="D24" s="5" t="s">
        <v>89</v>
      </c>
      <c r="E24" s="5" t="s">
        <v>90</v>
      </c>
      <c r="F24" s="5"/>
      <c r="G24" s="5"/>
      <c r="H24" s="5"/>
      <c r="I24" s="5"/>
      <c r="J24" s="5"/>
      <c r="K24" s="5"/>
    </row>
    <row r="25" spans="1:11" ht="43.2" customHeight="1" x14ac:dyDescent="0.3">
      <c r="A25" s="5" t="s">
        <v>91</v>
      </c>
      <c r="B25" s="5" t="s">
        <v>75</v>
      </c>
      <c r="C25" s="5" t="s">
        <v>92</v>
      </c>
      <c r="D25" s="5" t="s">
        <v>93</v>
      </c>
      <c r="E25" s="5" t="s">
        <v>94</v>
      </c>
      <c r="F25" s="5"/>
      <c r="G25" s="5"/>
      <c r="H25" s="5"/>
      <c r="I25" s="5"/>
      <c r="J25" s="5"/>
      <c r="K25" s="5"/>
    </row>
    <row r="26" spans="1:11" ht="43.2" customHeight="1" x14ac:dyDescent="0.3">
      <c r="A26" s="5" t="s">
        <v>95</v>
      </c>
      <c r="B26" s="5" t="s">
        <v>75</v>
      </c>
      <c r="C26" s="5" t="s">
        <v>96</v>
      </c>
      <c r="D26" s="5" t="s">
        <v>97</v>
      </c>
      <c r="E26" s="5" t="s">
        <v>98</v>
      </c>
      <c r="F26" s="5"/>
      <c r="G26" s="5"/>
      <c r="H26" s="5"/>
      <c r="I26" s="5"/>
      <c r="J26" s="5"/>
      <c r="K26" s="5"/>
    </row>
    <row r="27" spans="1:11" ht="43.2" customHeight="1" x14ac:dyDescent="0.3">
      <c r="A27" s="5" t="s">
        <v>99</v>
      </c>
      <c r="B27" s="5" t="s">
        <v>75</v>
      </c>
      <c r="C27" s="5" t="s">
        <v>100</v>
      </c>
      <c r="D27" s="5" t="s">
        <v>101</v>
      </c>
      <c r="E27" s="5" t="s">
        <v>102</v>
      </c>
      <c r="F27" s="5"/>
      <c r="G27" s="5"/>
      <c r="H27" s="5"/>
      <c r="I27" s="5"/>
      <c r="J27" s="5"/>
      <c r="K27" s="5"/>
    </row>
    <row r="28" spans="1:11" ht="43.2" customHeight="1" x14ac:dyDescent="0.3">
      <c r="A28" s="6" t="s">
        <v>103</v>
      </c>
      <c r="B28" s="6" t="s">
        <v>104</v>
      </c>
      <c r="C28" s="6" t="s">
        <v>105</v>
      </c>
      <c r="D28" s="6" t="s">
        <v>106</v>
      </c>
      <c r="E28" s="6" t="s">
        <v>107</v>
      </c>
      <c r="F28" s="6" t="s">
        <v>266</v>
      </c>
      <c r="G28" s="6"/>
      <c r="H28" s="6" t="s">
        <v>208</v>
      </c>
      <c r="I28" s="6"/>
      <c r="J28" s="6"/>
      <c r="K28" s="6" t="s">
        <v>252</v>
      </c>
    </row>
    <row r="29" spans="1:11" ht="43.2" customHeight="1" x14ac:dyDescent="0.3">
      <c r="A29" s="6" t="s">
        <v>108</v>
      </c>
      <c r="B29" s="6" t="s">
        <v>104</v>
      </c>
      <c r="C29" s="6" t="s">
        <v>109</v>
      </c>
      <c r="D29" s="6" t="s">
        <v>110</v>
      </c>
      <c r="E29" s="6" t="s">
        <v>111</v>
      </c>
      <c r="F29" s="6" t="s">
        <v>271</v>
      </c>
      <c r="G29" s="6"/>
      <c r="H29" s="6" t="s">
        <v>208</v>
      </c>
      <c r="I29" s="6" t="s">
        <v>251</v>
      </c>
      <c r="J29" s="6"/>
      <c r="K29" s="6" t="s">
        <v>252</v>
      </c>
    </row>
    <row r="30" spans="1:11" ht="43.2" customHeight="1" x14ac:dyDescent="0.3">
      <c r="A30" s="6" t="s">
        <v>112</v>
      </c>
      <c r="B30" s="6" t="s">
        <v>104</v>
      </c>
      <c r="C30" s="6" t="s">
        <v>113</v>
      </c>
      <c r="D30" s="6" t="s">
        <v>114</v>
      </c>
      <c r="E30" s="6" t="s">
        <v>115</v>
      </c>
      <c r="F30" s="6" t="s">
        <v>271</v>
      </c>
      <c r="G30" s="6"/>
      <c r="H30" s="6" t="s">
        <v>209</v>
      </c>
      <c r="I30" s="6" t="s">
        <v>264</v>
      </c>
      <c r="J30" s="6"/>
      <c r="K30" s="6" t="s">
        <v>253</v>
      </c>
    </row>
    <row r="31" spans="1:11" ht="43.2" customHeight="1" x14ac:dyDescent="0.3">
      <c r="A31" s="6" t="s">
        <v>116</v>
      </c>
      <c r="B31" s="6" t="s">
        <v>104</v>
      </c>
      <c r="C31" s="6" t="s">
        <v>117</v>
      </c>
      <c r="D31" s="6" t="s">
        <v>118</v>
      </c>
      <c r="E31" s="6" t="s">
        <v>119</v>
      </c>
      <c r="F31" s="6" t="s">
        <v>271</v>
      </c>
      <c r="G31" s="6"/>
      <c r="H31" s="6" t="s">
        <v>208</v>
      </c>
      <c r="I31" s="6"/>
      <c r="J31" s="6"/>
      <c r="K31" s="6" t="s">
        <v>253</v>
      </c>
    </row>
    <row r="32" spans="1:11" ht="43.2" customHeight="1" x14ac:dyDescent="0.3">
      <c r="A32" s="6" t="s">
        <v>120</v>
      </c>
      <c r="B32" s="6" t="s">
        <v>104</v>
      </c>
      <c r="C32" s="6" t="s">
        <v>121</v>
      </c>
      <c r="D32" s="6" t="s">
        <v>122</v>
      </c>
      <c r="E32" s="6" t="s">
        <v>123</v>
      </c>
      <c r="F32" s="6" t="s">
        <v>271</v>
      </c>
      <c r="G32" s="6"/>
      <c r="H32" s="6" t="s">
        <v>208</v>
      </c>
      <c r="I32" s="6"/>
      <c r="J32" s="6"/>
      <c r="K32" s="6" t="s">
        <v>253</v>
      </c>
    </row>
    <row r="33" spans="1:11" ht="43.2" customHeight="1" x14ac:dyDescent="0.3">
      <c r="A33" s="6" t="s">
        <v>124</v>
      </c>
      <c r="B33" s="6" t="s">
        <v>104</v>
      </c>
      <c r="C33" s="6" t="s">
        <v>125</v>
      </c>
      <c r="D33" s="6" t="s">
        <v>126</v>
      </c>
      <c r="E33" s="6" t="s">
        <v>127</v>
      </c>
      <c r="F33" s="6" t="s">
        <v>271</v>
      </c>
      <c r="G33" s="6"/>
      <c r="H33" s="6" t="s">
        <v>208</v>
      </c>
      <c r="I33" s="6"/>
      <c r="J33" s="6"/>
      <c r="K33" s="6" t="s">
        <v>253</v>
      </c>
    </row>
    <row r="34" spans="1:11" ht="43.2" customHeight="1" x14ac:dyDescent="0.3">
      <c r="A34" s="6" t="s">
        <v>128</v>
      </c>
      <c r="B34" s="6" t="s">
        <v>104</v>
      </c>
      <c r="C34" s="6" t="s">
        <v>129</v>
      </c>
      <c r="D34" s="6" t="s">
        <v>130</v>
      </c>
      <c r="E34" s="6" t="s">
        <v>131</v>
      </c>
      <c r="F34" s="6" t="s">
        <v>271</v>
      </c>
      <c r="G34" s="6"/>
      <c r="H34" s="6" t="s">
        <v>208</v>
      </c>
      <c r="I34" s="6"/>
      <c r="J34" s="6"/>
      <c r="K34" s="6" t="s">
        <v>253</v>
      </c>
    </row>
    <row r="35" spans="1:11" ht="43.2" customHeight="1" x14ac:dyDescent="0.3">
      <c r="A35" s="6" t="s">
        <v>132</v>
      </c>
      <c r="B35" s="6" t="s">
        <v>104</v>
      </c>
      <c r="C35" s="6" t="s">
        <v>133</v>
      </c>
      <c r="D35" s="6" t="s">
        <v>134</v>
      </c>
      <c r="E35" s="6" t="s">
        <v>135</v>
      </c>
      <c r="F35" s="6" t="s">
        <v>266</v>
      </c>
      <c r="G35" s="6"/>
      <c r="H35" s="6" t="s">
        <v>209</v>
      </c>
      <c r="I35" s="6" t="s">
        <v>265</v>
      </c>
      <c r="J35" s="6"/>
      <c r="K35" s="6" t="s">
        <v>252</v>
      </c>
    </row>
    <row r="36" spans="1:11" ht="43.2" customHeight="1" x14ac:dyDescent="0.3">
      <c r="A36" s="7" t="s">
        <v>136</v>
      </c>
      <c r="B36" s="7" t="s">
        <v>137</v>
      </c>
      <c r="C36" s="7" t="s">
        <v>138</v>
      </c>
      <c r="D36" s="7" t="s">
        <v>139</v>
      </c>
      <c r="E36" s="7" t="s">
        <v>140</v>
      </c>
      <c r="F36" s="7"/>
      <c r="G36" s="7"/>
      <c r="H36" s="7"/>
      <c r="I36" s="7"/>
      <c r="J36" s="7"/>
      <c r="K36" s="7"/>
    </row>
    <row r="37" spans="1:11" ht="43.2" customHeight="1" x14ac:dyDescent="0.3">
      <c r="A37" s="7" t="s">
        <v>141</v>
      </c>
      <c r="B37" s="7" t="s">
        <v>137</v>
      </c>
      <c r="C37" s="7" t="s">
        <v>142</v>
      </c>
      <c r="D37" s="7" t="s">
        <v>143</v>
      </c>
      <c r="E37" s="7" t="s">
        <v>144</v>
      </c>
      <c r="F37" s="7"/>
      <c r="G37" s="7"/>
      <c r="H37" s="7"/>
      <c r="I37" s="7"/>
      <c r="J37" s="7"/>
      <c r="K37" s="7"/>
    </row>
    <row r="38" spans="1:11" ht="43.2" customHeight="1" x14ac:dyDescent="0.3">
      <c r="A38" s="7" t="s">
        <v>145</v>
      </c>
      <c r="B38" s="7" t="s">
        <v>137</v>
      </c>
      <c r="C38" s="7" t="s">
        <v>146</v>
      </c>
      <c r="D38" s="7" t="s">
        <v>147</v>
      </c>
      <c r="E38" s="7" t="s">
        <v>148</v>
      </c>
      <c r="F38" s="7"/>
      <c r="G38" s="7"/>
      <c r="H38" s="7"/>
      <c r="I38" s="7"/>
      <c r="J38" s="7"/>
      <c r="K38" s="7"/>
    </row>
    <row r="39" spans="1:11" ht="43.2" customHeight="1" x14ac:dyDescent="0.3">
      <c r="A39" s="7" t="s">
        <v>149</v>
      </c>
      <c r="B39" s="7" t="s">
        <v>137</v>
      </c>
      <c r="C39" s="7" t="s">
        <v>150</v>
      </c>
      <c r="D39" s="7" t="s">
        <v>151</v>
      </c>
      <c r="E39" s="7" t="s">
        <v>152</v>
      </c>
      <c r="F39" s="7"/>
      <c r="G39" s="7"/>
      <c r="H39" s="7"/>
      <c r="I39" s="7"/>
      <c r="J39" s="7"/>
      <c r="K39" s="7"/>
    </row>
    <row r="40" spans="1:11" ht="43.2" customHeight="1" x14ac:dyDescent="0.3">
      <c r="A40" s="7" t="s">
        <v>153</v>
      </c>
      <c r="B40" s="7" t="s">
        <v>137</v>
      </c>
      <c r="C40" s="7" t="s">
        <v>154</v>
      </c>
      <c r="D40" s="7" t="s">
        <v>155</v>
      </c>
      <c r="E40" s="7" t="s">
        <v>156</v>
      </c>
      <c r="F40" s="7"/>
      <c r="G40" s="7"/>
      <c r="H40" s="7"/>
      <c r="I40" s="7"/>
      <c r="J40" s="7"/>
      <c r="K40" s="7"/>
    </row>
    <row r="41" spans="1:11" ht="43.2" customHeight="1" x14ac:dyDescent="0.3">
      <c r="A41" s="7" t="s">
        <v>157</v>
      </c>
      <c r="B41" s="7" t="s">
        <v>137</v>
      </c>
      <c r="C41" s="7" t="s">
        <v>158</v>
      </c>
      <c r="D41" s="7" t="s">
        <v>159</v>
      </c>
      <c r="E41" s="7" t="s">
        <v>160</v>
      </c>
      <c r="F41" s="7"/>
      <c r="G41" s="7"/>
      <c r="H41" s="7"/>
      <c r="I41" s="7"/>
      <c r="J41" s="7"/>
      <c r="K41" s="7"/>
    </row>
    <row r="42" spans="1:11" ht="43.2" customHeight="1" x14ac:dyDescent="0.3">
      <c r="A42" s="7" t="s">
        <v>161</v>
      </c>
      <c r="B42" s="7" t="s">
        <v>137</v>
      </c>
      <c r="C42" s="7" t="s">
        <v>162</v>
      </c>
      <c r="D42" s="7" t="s">
        <v>163</v>
      </c>
      <c r="E42" s="7" t="s">
        <v>164</v>
      </c>
      <c r="F42" s="7"/>
      <c r="G42" s="7"/>
      <c r="H42" s="7"/>
      <c r="I42" s="7"/>
      <c r="J42" s="7"/>
      <c r="K42" s="7"/>
    </row>
    <row r="43" spans="1:11" ht="43.2" customHeight="1" x14ac:dyDescent="0.3">
      <c r="A43" s="7" t="s">
        <v>165</v>
      </c>
      <c r="B43" s="7" t="s">
        <v>137</v>
      </c>
      <c r="C43" s="7" t="s">
        <v>166</v>
      </c>
      <c r="D43" s="7" t="s">
        <v>167</v>
      </c>
      <c r="E43" s="7" t="s">
        <v>168</v>
      </c>
      <c r="F43" s="7"/>
      <c r="G43" s="7"/>
      <c r="H43" s="7"/>
      <c r="I43" s="7"/>
      <c r="J43" s="7"/>
      <c r="K43" s="7"/>
    </row>
    <row r="44" spans="1:11" ht="43.2" customHeight="1" x14ac:dyDescent="0.3">
      <c r="A44" s="8" t="s">
        <v>169</v>
      </c>
      <c r="B44" s="8" t="s">
        <v>170</v>
      </c>
      <c r="C44" s="8" t="s">
        <v>171</v>
      </c>
      <c r="D44" s="8" t="s">
        <v>172</v>
      </c>
      <c r="E44" s="8" t="s">
        <v>173</v>
      </c>
      <c r="F44" s="8"/>
      <c r="G44" s="8"/>
      <c r="H44" s="8"/>
      <c r="I44" s="8"/>
      <c r="J44" s="8"/>
      <c r="K44" s="8"/>
    </row>
    <row r="45" spans="1:11" ht="43.2" customHeight="1" x14ac:dyDescent="0.3">
      <c r="A45" s="8" t="s">
        <v>174</v>
      </c>
      <c r="B45" s="8" t="s">
        <v>170</v>
      </c>
      <c r="C45" s="8" t="s">
        <v>175</v>
      </c>
      <c r="D45" s="8" t="s">
        <v>176</v>
      </c>
      <c r="E45" s="8" t="s">
        <v>177</v>
      </c>
      <c r="F45" s="8"/>
      <c r="G45" s="8"/>
      <c r="H45" s="8"/>
      <c r="I45" s="8"/>
      <c r="J45" s="8"/>
      <c r="K45" s="8"/>
    </row>
    <row r="46" spans="1:11" ht="43.2" customHeight="1" x14ac:dyDescent="0.3">
      <c r="A46" s="8" t="s">
        <v>178</v>
      </c>
      <c r="B46" s="8" t="s">
        <v>170</v>
      </c>
      <c r="C46" s="8" t="s">
        <v>179</v>
      </c>
      <c r="D46" s="8" t="s">
        <v>180</v>
      </c>
      <c r="E46" s="8" t="s">
        <v>181</v>
      </c>
      <c r="F46" s="8"/>
      <c r="G46" s="8"/>
      <c r="H46" s="8"/>
      <c r="I46" s="8"/>
      <c r="J46" s="8"/>
      <c r="K46" s="8"/>
    </row>
    <row r="47" spans="1:11" ht="43.2" customHeight="1" x14ac:dyDescent="0.3">
      <c r="A47" s="8" t="s">
        <v>182</v>
      </c>
      <c r="B47" s="8" t="s">
        <v>170</v>
      </c>
      <c r="C47" s="8" t="s">
        <v>183</v>
      </c>
      <c r="D47" s="8" t="s">
        <v>184</v>
      </c>
      <c r="E47" s="8" t="s">
        <v>185</v>
      </c>
      <c r="F47" s="8"/>
      <c r="G47" s="8"/>
      <c r="H47" s="8"/>
      <c r="I47" s="8"/>
      <c r="J47" s="8"/>
      <c r="K47" s="8"/>
    </row>
    <row r="48" spans="1:11" ht="43.2" customHeight="1" x14ac:dyDescent="0.3">
      <c r="A48" s="8" t="s">
        <v>186</v>
      </c>
      <c r="B48" s="8" t="s">
        <v>170</v>
      </c>
      <c r="C48" s="8" t="s">
        <v>187</v>
      </c>
      <c r="D48" s="8" t="s">
        <v>188</v>
      </c>
      <c r="E48" s="8" t="s">
        <v>189</v>
      </c>
      <c r="F48" s="8"/>
      <c r="G48" s="8"/>
      <c r="H48" s="8"/>
      <c r="I48" s="8"/>
      <c r="J48" s="8"/>
      <c r="K48" s="8"/>
    </row>
    <row r="49" spans="1:11" ht="43.2" customHeight="1" x14ac:dyDescent="0.3">
      <c r="A49" s="8" t="s">
        <v>190</v>
      </c>
      <c r="B49" s="8" t="s">
        <v>170</v>
      </c>
      <c r="C49" s="8" t="s">
        <v>191</v>
      </c>
      <c r="D49" s="8" t="s">
        <v>192</v>
      </c>
      <c r="E49" s="8" t="s">
        <v>193</v>
      </c>
      <c r="F49" s="8"/>
      <c r="G49" s="8"/>
      <c r="H49" s="8"/>
      <c r="I49" s="8"/>
      <c r="J49" s="8"/>
      <c r="K49" s="8"/>
    </row>
    <row r="50" spans="1:11" ht="43.2" customHeight="1" x14ac:dyDescent="0.3">
      <c r="A50" s="8" t="s">
        <v>194</v>
      </c>
      <c r="B50" s="8" t="s">
        <v>170</v>
      </c>
      <c r="C50" s="8" t="s">
        <v>195</v>
      </c>
      <c r="D50" s="8" t="s">
        <v>196</v>
      </c>
      <c r="E50" s="8" t="s">
        <v>197</v>
      </c>
      <c r="F50" s="8"/>
      <c r="G50" s="8"/>
      <c r="H50" s="8"/>
      <c r="I50" s="8"/>
      <c r="J50" s="8"/>
      <c r="K50" s="8"/>
    </row>
    <row r="51" spans="1:11" ht="43.2" customHeight="1" x14ac:dyDescent="0.3">
      <c r="A51" s="8" t="s">
        <v>198</v>
      </c>
      <c r="B51" s="8" t="s">
        <v>170</v>
      </c>
      <c r="C51" s="8" t="s">
        <v>199</v>
      </c>
      <c r="D51" s="8" t="s">
        <v>200</v>
      </c>
      <c r="E51" s="8" t="s">
        <v>201</v>
      </c>
      <c r="F51" s="8"/>
      <c r="G51" s="8"/>
      <c r="H51" s="8"/>
      <c r="I51" s="8"/>
      <c r="J51" s="8"/>
      <c r="K51" s="8"/>
    </row>
  </sheetData>
  <mergeCells count="3">
    <mergeCell ref="A1:K1"/>
    <mergeCell ref="A2:K2"/>
    <mergeCell ref="A3:K3"/>
  </mergeCells>
  <conditionalFormatting sqref="H7:H51">
    <cfRule type="expression" dxfId="6" priority="1">
      <formula>H7="Established"</formula>
    </cfRule>
    <cfRule type="expression" dxfId="5" priority="2">
      <formula>H7="Partially Established"</formula>
    </cfRule>
    <cfRule type="expression" dxfId="4" priority="3">
      <formula>H7="Significant Gap"</formula>
    </cfRule>
    <cfRule type="expression" dxfId="3" priority="4">
      <formula>H7="Not Established"</formula>
    </cfRule>
  </conditionalFormatting>
  <conditionalFormatting sqref="K7:K51">
    <cfRule type="expression" dxfId="2" priority="5">
      <formula>K7="High"</formula>
    </cfRule>
    <cfRule type="expression" dxfId="1" priority="6">
      <formula>K7="Medium"</formula>
    </cfRule>
    <cfRule type="expression" dxfId="0" priority="7">
      <formula>K7="Low"</formula>
    </cfRule>
  </conditionalFormatting>
  <dataValidations count="2">
    <dataValidation type="list" sqref="H7:H51" xr:uid="{00000000-0002-0000-0000-000000000000}">
      <formula1>"Established,Partially Established,Significant Gap,Not Established"</formula1>
    </dataValidation>
    <dataValidation type="list" sqref="K7:K51" xr:uid="{00000000-0002-0000-00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"/>
  <sheetViews>
    <sheetView workbookViewId="0">
      <selection activeCell="B11" sqref="B11"/>
    </sheetView>
  </sheetViews>
  <sheetFormatPr defaultRowHeight="14.4" x14ac:dyDescent="0.3"/>
  <cols>
    <col min="1" max="1" width="12" customWidth="1"/>
    <col min="2" max="2" width="32" customWidth="1"/>
    <col min="3" max="3" width="18" customWidth="1"/>
    <col min="4" max="4" width="16" customWidth="1"/>
    <col min="5" max="5" width="28" customWidth="1"/>
    <col min="6" max="6" width="38" customWidth="1"/>
    <col min="7" max="7" width="55" customWidth="1"/>
    <col min="8" max="8" width="12" customWidth="1"/>
    <col min="9" max="9" width="48" customWidth="1"/>
  </cols>
  <sheetData>
    <row r="1" spans="1:9" ht="33" customHeight="1" x14ac:dyDescent="0.4">
      <c r="A1" s="18" t="s">
        <v>214</v>
      </c>
      <c r="B1" s="18"/>
      <c r="C1" s="18"/>
      <c r="D1" s="18"/>
      <c r="E1" s="18"/>
      <c r="F1" s="18"/>
      <c r="G1" s="18"/>
      <c r="H1" s="18"/>
      <c r="I1" s="18"/>
    </row>
    <row r="2" spans="1:9" ht="22.35" customHeight="1" x14ac:dyDescent="0.3">
      <c r="A2" s="26" t="s">
        <v>215</v>
      </c>
      <c r="B2" s="26"/>
      <c r="C2" s="26"/>
      <c r="D2" s="26"/>
      <c r="E2" s="26"/>
      <c r="F2" s="26"/>
      <c r="G2" s="26"/>
      <c r="H2" s="26"/>
      <c r="I2" s="26"/>
    </row>
    <row r="5" spans="1:9" ht="25.65" customHeight="1" x14ac:dyDescent="0.3">
      <c r="A5" s="1" t="s">
        <v>216</v>
      </c>
      <c r="B5" s="1" t="s">
        <v>217</v>
      </c>
      <c r="C5" s="1" t="s">
        <v>218</v>
      </c>
      <c r="D5" s="1" t="s">
        <v>219</v>
      </c>
      <c r="E5" s="1" t="s">
        <v>220</v>
      </c>
      <c r="F5" s="1" t="s">
        <v>221</v>
      </c>
      <c r="G5" s="1" t="s">
        <v>222</v>
      </c>
      <c r="H5" s="1" t="s">
        <v>223</v>
      </c>
      <c r="I5" s="1" t="s">
        <v>224</v>
      </c>
    </row>
    <row r="6" spans="1:9" ht="57.6" x14ac:dyDescent="0.3">
      <c r="A6" s="2" t="s">
        <v>60</v>
      </c>
      <c r="B6" s="2" t="s">
        <v>225</v>
      </c>
      <c r="C6" s="2" t="s">
        <v>226</v>
      </c>
      <c r="D6" s="2" t="s">
        <v>227</v>
      </c>
      <c r="E6" s="2" t="s">
        <v>228</v>
      </c>
      <c r="F6" s="2" t="s">
        <v>229</v>
      </c>
      <c r="G6" s="2" t="s">
        <v>230</v>
      </c>
      <c r="H6" s="2" t="s">
        <v>231</v>
      </c>
      <c r="I6" s="2" t="s">
        <v>232</v>
      </c>
    </row>
    <row r="7" spans="1:9" x14ac:dyDescent="0.3">
      <c r="A7" s="2" t="s">
        <v>245</v>
      </c>
      <c r="B7" s="2" t="s">
        <v>246</v>
      </c>
      <c r="C7" s="2" t="s">
        <v>247</v>
      </c>
      <c r="D7" s="2"/>
      <c r="E7" s="2" t="s">
        <v>248</v>
      </c>
      <c r="F7" s="2"/>
      <c r="G7" s="2"/>
      <c r="H7" s="2" t="s">
        <v>249</v>
      </c>
      <c r="I7" s="2"/>
    </row>
    <row r="8" spans="1:9" ht="43.2" x14ac:dyDescent="0.3">
      <c r="A8" s="2" t="s">
        <v>266</v>
      </c>
      <c r="B8" s="2" t="s">
        <v>267</v>
      </c>
      <c r="C8" s="2" t="s">
        <v>268</v>
      </c>
      <c r="D8" s="2"/>
      <c r="E8" s="2" t="s">
        <v>248</v>
      </c>
      <c r="F8" s="2" t="s">
        <v>269</v>
      </c>
      <c r="G8" s="2" t="s">
        <v>270</v>
      </c>
      <c r="H8" s="2" t="s">
        <v>231</v>
      </c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</sheetData>
  <mergeCells count="2">
    <mergeCell ref="A1:I1"/>
    <mergeCell ref="A2:I2"/>
  </mergeCells>
  <phoneticPr fontId="8" type="noConversion"/>
  <dataValidations count="1">
    <dataValidation type="list" sqref="H6:H100" xr:uid="{00000000-0002-0000-0200-000000000000}">
      <formula1>"Yes,No,Partial"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C12" sqref="C12"/>
    </sheetView>
  </sheetViews>
  <sheetFormatPr defaultRowHeight="14.4" x14ac:dyDescent="0.3"/>
  <cols>
    <col min="1" max="1" width="18" customWidth="1"/>
    <col min="2" max="2" width="48" customWidth="1"/>
    <col min="3" max="3" width="52" customWidth="1"/>
    <col min="4" max="4" width="70" customWidth="1"/>
    <col min="5" max="6" width="12" customWidth="1"/>
  </cols>
  <sheetData>
    <row r="1" spans="1:6" ht="39.6" customHeight="1" x14ac:dyDescent="0.4">
      <c r="A1" s="18" t="s">
        <v>233</v>
      </c>
      <c r="B1" s="18"/>
      <c r="C1" s="18"/>
      <c r="D1" s="18"/>
      <c r="E1" s="18"/>
      <c r="F1" s="18"/>
    </row>
    <row r="3" spans="1:6" x14ac:dyDescent="0.3">
      <c r="A3" s="9" t="s">
        <v>10</v>
      </c>
      <c r="B3" s="9" t="s">
        <v>234</v>
      </c>
      <c r="C3" s="9" t="s">
        <v>235</v>
      </c>
      <c r="D3" s="10"/>
    </row>
    <row r="4" spans="1:6" ht="33.6" customHeight="1" x14ac:dyDescent="0.3">
      <c r="A4" s="13" t="s">
        <v>208</v>
      </c>
      <c r="B4" s="2" t="s">
        <v>236</v>
      </c>
      <c r="C4" s="17">
        <v>3</v>
      </c>
      <c r="D4" s="10"/>
    </row>
    <row r="5" spans="1:6" ht="30" customHeight="1" x14ac:dyDescent="0.3">
      <c r="A5" s="15" t="s">
        <v>209</v>
      </c>
      <c r="B5" s="2" t="s">
        <v>237</v>
      </c>
      <c r="C5" s="17">
        <v>2</v>
      </c>
      <c r="D5" s="10"/>
    </row>
    <row r="6" spans="1:6" ht="28.8" x14ac:dyDescent="0.3">
      <c r="A6" s="14" t="s">
        <v>210</v>
      </c>
      <c r="B6" s="2" t="s">
        <v>238</v>
      </c>
      <c r="C6" s="17">
        <v>1</v>
      </c>
      <c r="D6" s="10"/>
    </row>
    <row r="7" spans="1:6" ht="30" customHeight="1" x14ac:dyDescent="0.3">
      <c r="A7" s="16" t="s">
        <v>211</v>
      </c>
      <c r="B7" s="2" t="s">
        <v>239</v>
      </c>
      <c r="C7" s="17">
        <v>0</v>
      </c>
      <c r="D7" s="10"/>
    </row>
    <row r="8" spans="1:6" x14ac:dyDescent="0.3">
      <c r="A8" s="10"/>
      <c r="B8" s="10"/>
      <c r="C8" s="10"/>
      <c r="D8" s="10"/>
    </row>
    <row r="9" spans="1:6" x14ac:dyDescent="0.3">
      <c r="A9" s="10"/>
      <c r="B9" s="10"/>
      <c r="C9" s="10"/>
      <c r="D9" s="10"/>
    </row>
    <row r="10" spans="1:6" x14ac:dyDescent="0.3">
      <c r="A10" s="27" t="s">
        <v>240</v>
      </c>
      <c r="B10" s="27"/>
      <c r="C10" s="27"/>
      <c r="D10" s="10"/>
    </row>
    <row r="11" spans="1:6" ht="28.8" x14ac:dyDescent="0.3">
      <c r="A11" s="2" t="s">
        <v>241</v>
      </c>
      <c r="B11" s="2" t="s">
        <v>242</v>
      </c>
      <c r="C11" s="2"/>
      <c r="D11" s="10"/>
    </row>
    <row r="12" spans="1:6" ht="43.2" x14ac:dyDescent="0.3">
      <c r="A12" s="2" t="s">
        <v>243</v>
      </c>
      <c r="B12" s="2" t="s">
        <v>244</v>
      </c>
      <c r="C12" s="2"/>
      <c r="D12" s="10"/>
    </row>
    <row r="13" spans="1:6" x14ac:dyDescent="0.3">
      <c r="A13" s="10"/>
      <c r="B13" s="10"/>
      <c r="C13" s="10"/>
      <c r="D13" s="10"/>
    </row>
    <row r="14" spans="1:6" x14ac:dyDescent="0.3">
      <c r="A14" s="10"/>
      <c r="B14" s="10"/>
      <c r="C14" s="10"/>
      <c r="D14" s="10"/>
    </row>
    <row r="15" spans="1:6" x14ac:dyDescent="0.3">
      <c r="A15" s="10"/>
      <c r="B15" s="10"/>
      <c r="C15" s="10"/>
      <c r="D15" s="10"/>
    </row>
    <row r="16" spans="1:6" x14ac:dyDescent="0.3">
      <c r="A16" s="10"/>
      <c r="B16" s="10"/>
      <c r="C16" s="10"/>
      <c r="D16" s="10"/>
    </row>
    <row r="17" spans="1:4" x14ac:dyDescent="0.3">
      <c r="A17" s="10"/>
      <c r="B17" s="10"/>
      <c r="C17" s="10"/>
      <c r="D17" s="10"/>
    </row>
    <row r="18" spans="1:4" x14ac:dyDescent="0.3">
      <c r="A18" s="10"/>
      <c r="B18" s="10"/>
      <c r="C18" s="10"/>
      <c r="D18" s="10"/>
    </row>
    <row r="19" spans="1:4" x14ac:dyDescent="0.3">
      <c r="A19" s="10"/>
      <c r="B19" s="10"/>
      <c r="C19" s="10"/>
      <c r="D19" s="10"/>
    </row>
    <row r="20" spans="1:4" x14ac:dyDescent="0.3">
      <c r="A20" s="10"/>
      <c r="B20" s="10"/>
      <c r="C20" s="10"/>
      <c r="D20" s="10"/>
    </row>
    <row r="21" spans="1:4" x14ac:dyDescent="0.3">
      <c r="A21" s="10"/>
      <c r="B21" s="10"/>
      <c r="C21" s="10"/>
      <c r="D21" s="10"/>
    </row>
  </sheetData>
  <mergeCells count="2">
    <mergeCell ref="A1:F1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Gap Assessment</vt:lpstr>
      <vt:lpstr>Evidence Register</vt:lpstr>
      <vt:lpstr>Guidance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Gap Assessment Matrix</dc:title>
  <cp:keywords>SCAD</cp:keywords>
  <cp:lastModifiedBy>PVI-Kinan</cp:lastModifiedBy>
  <dcterms:modified xsi:type="dcterms:W3CDTF">2026-08-23T20:26:23Z</dcterms:modified>
</cp:coreProperties>
</file>